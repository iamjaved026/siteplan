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0" yWindow="0" windowWidth="23040" windowHeight="9072"/>
  </bookViews>
  <sheets>
    <sheet name="ActivityList AUG23" sheetId="2" r:id="rId1"/>
    <sheet name="RES. Baseline" sheetId="3" r:id="rId2"/>
    <sheet name="RES. AUG23" sheetId="4" r:id="rId3"/>
    <sheet name="RES. OCT23" sheetId="5" r:id="rId4"/>
  </sheets>
  <definedNames>
    <definedName name="_xlnm._FilterDatabase" localSheetId="0" hidden="1">'ActivityList AUG23'!$N$2:$N$119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19" i="2" l="1"/>
  <c r="Q3" i="2"/>
  <c r="S2" i="2" s="1"/>
  <c r="Q4" i="2"/>
  <c r="S3" i="2" s="1"/>
  <c r="Q5" i="2"/>
  <c r="S4" i="2" s="1"/>
  <c r="Q6" i="2"/>
  <c r="S5" i="2" s="1"/>
  <c r="Q7" i="2"/>
  <c r="S6" i="2" s="1"/>
  <c r="Q8" i="2"/>
  <c r="S7" i="2" s="1"/>
  <c r="Q9" i="2"/>
  <c r="S8" i="2" s="1"/>
  <c r="Q10" i="2"/>
  <c r="S9" i="2" s="1"/>
  <c r="Q11" i="2"/>
  <c r="S10" i="2" s="1"/>
  <c r="Q12" i="2"/>
  <c r="S11" i="2" s="1"/>
  <c r="Q13" i="2"/>
  <c r="S12" i="2" s="1"/>
  <c r="Q14" i="2"/>
  <c r="S13" i="2" s="1"/>
  <c r="Q15" i="2"/>
  <c r="S14" i="2" s="1"/>
  <c r="Q16" i="2"/>
  <c r="S15" i="2" s="1"/>
  <c r="Q17" i="2"/>
  <c r="S16" i="2" s="1"/>
  <c r="Q18" i="2"/>
  <c r="S17" i="2" s="1"/>
  <c r="Q19" i="2"/>
  <c r="S18" i="2" s="1"/>
  <c r="Q20" i="2"/>
  <c r="S19" i="2" s="1"/>
  <c r="Q21" i="2"/>
  <c r="S20" i="2" s="1"/>
  <c r="Q22" i="2"/>
  <c r="S21" i="2" s="1"/>
  <c r="Q23" i="2"/>
  <c r="S22" i="2" s="1"/>
  <c r="Q24" i="2"/>
  <c r="S23" i="2" s="1"/>
  <c r="Q25" i="2"/>
  <c r="S24" i="2" s="1"/>
  <c r="Q26" i="2"/>
  <c r="S25" i="2" s="1"/>
  <c r="Q27" i="2"/>
  <c r="S26" i="2" s="1"/>
  <c r="Q28" i="2"/>
  <c r="S27" i="2" s="1"/>
  <c r="Q29" i="2"/>
  <c r="S28" i="2" s="1"/>
  <c r="Q30" i="2"/>
  <c r="S29" i="2" s="1"/>
  <c r="Q31" i="2"/>
  <c r="S30" i="2" s="1"/>
  <c r="Q32" i="2"/>
  <c r="S31" i="2" s="1"/>
  <c r="Q33" i="2"/>
  <c r="S32" i="2" s="1"/>
  <c r="Q34" i="2"/>
  <c r="S33" i="2" s="1"/>
  <c r="Q35" i="2"/>
  <c r="S34" i="2" s="1"/>
  <c r="Q36" i="2"/>
  <c r="S35" i="2" s="1"/>
  <c r="Q37" i="2"/>
  <c r="S36" i="2" s="1"/>
  <c r="Q38" i="2"/>
  <c r="S37" i="2" s="1"/>
  <c r="Q39" i="2"/>
  <c r="S38" i="2" s="1"/>
  <c r="Q40" i="2"/>
  <c r="S39" i="2" s="1"/>
  <c r="Q41" i="2"/>
  <c r="S40" i="2" s="1"/>
  <c r="Q42" i="2"/>
  <c r="S41" i="2" s="1"/>
  <c r="Q43" i="2"/>
  <c r="S42" i="2" s="1"/>
  <c r="Q44" i="2"/>
  <c r="S43" i="2" s="1"/>
  <c r="Q45" i="2"/>
  <c r="S44" i="2" s="1"/>
  <c r="Q46" i="2"/>
  <c r="S45" i="2" s="1"/>
  <c r="Q47" i="2"/>
  <c r="S46" i="2" s="1"/>
  <c r="Q48" i="2"/>
  <c r="S47" i="2" s="1"/>
  <c r="Q49" i="2"/>
  <c r="S48" i="2" s="1"/>
  <c r="Q50" i="2"/>
  <c r="S49" i="2" s="1"/>
  <c r="Q51" i="2"/>
  <c r="S50" i="2" s="1"/>
  <c r="Q52" i="2"/>
  <c r="S51" i="2" s="1"/>
  <c r="Q53" i="2"/>
  <c r="S52" i="2" s="1"/>
  <c r="Q54" i="2"/>
  <c r="S53" i="2" s="1"/>
  <c r="Q55" i="2"/>
  <c r="S54" i="2" s="1"/>
  <c r="Q56" i="2"/>
  <c r="S55" i="2" s="1"/>
  <c r="Q57" i="2"/>
  <c r="S56" i="2" s="1"/>
  <c r="Q58" i="2"/>
  <c r="S57" i="2" s="1"/>
  <c r="Q59" i="2"/>
  <c r="S58" i="2" s="1"/>
  <c r="Q60" i="2"/>
  <c r="S59" i="2" s="1"/>
  <c r="Q61" i="2"/>
  <c r="S60" i="2" s="1"/>
  <c r="Q62" i="2"/>
  <c r="S61" i="2" s="1"/>
  <c r="Q63" i="2"/>
  <c r="S62" i="2" s="1"/>
  <c r="Q64" i="2"/>
  <c r="S63" i="2" s="1"/>
  <c r="Q65" i="2"/>
  <c r="S64" i="2" s="1"/>
  <c r="Q66" i="2"/>
  <c r="S65" i="2" s="1"/>
  <c r="Q67" i="2"/>
  <c r="S66" i="2" s="1"/>
  <c r="Q68" i="2"/>
  <c r="S67" i="2" s="1"/>
  <c r="Q69" i="2"/>
  <c r="S68" i="2" s="1"/>
  <c r="Q70" i="2"/>
  <c r="S69" i="2" s="1"/>
  <c r="Q71" i="2"/>
  <c r="S70" i="2" s="1"/>
  <c r="Q72" i="2"/>
  <c r="S71" i="2" s="1"/>
  <c r="Q73" i="2"/>
  <c r="S72" i="2" s="1"/>
  <c r="Q74" i="2"/>
  <c r="S73" i="2" s="1"/>
  <c r="Q75" i="2"/>
  <c r="S74" i="2" s="1"/>
  <c r="Q76" i="2"/>
  <c r="S75" i="2" s="1"/>
  <c r="Q77" i="2"/>
  <c r="S76" i="2" s="1"/>
  <c r="Q78" i="2"/>
  <c r="S77" i="2" s="1"/>
  <c r="Q79" i="2"/>
  <c r="S78" i="2" s="1"/>
  <c r="Q80" i="2"/>
  <c r="S79" i="2" s="1"/>
  <c r="Q81" i="2"/>
  <c r="S80" i="2" s="1"/>
  <c r="Q82" i="2"/>
  <c r="S81" i="2" s="1"/>
  <c r="Q83" i="2"/>
  <c r="S82" i="2" s="1"/>
  <c r="Q84" i="2"/>
  <c r="S83" i="2" s="1"/>
  <c r="Q85" i="2"/>
  <c r="S84" i="2" s="1"/>
  <c r="Q86" i="2"/>
  <c r="S85" i="2" s="1"/>
  <c r="Q87" i="2"/>
  <c r="S86" i="2" s="1"/>
  <c r="Q88" i="2"/>
  <c r="S87" i="2" s="1"/>
  <c r="Q89" i="2"/>
  <c r="S88" i="2" s="1"/>
  <c r="Q90" i="2"/>
  <c r="S89" i="2" s="1"/>
  <c r="Q91" i="2"/>
  <c r="S90" i="2" s="1"/>
  <c r="Q92" i="2"/>
  <c r="S91" i="2" s="1"/>
  <c r="Q93" i="2"/>
  <c r="S92" i="2" s="1"/>
  <c r="Q94" i="2"/>
  <c r="S93" i="2" s="1"/>
  <c r="Q95" i="2"/>
  <c r="S94" i="2" s="1"/>
  <c r="Q96" i="2"/>
  <c r="S95" i="2" s="1"/>
  <c r="Q97" i="2"/>
  <c r="S96" i="2" s="1"/>
  <c r="Q98" i="2"/>
  <c r="S97" i="2" s="1"/>
  <c r="Q99" i="2"/>
  <c r="S98" i="2" s="1"/>
  <c r="Q100" i="2"/>
  <c r="S99" i="2" s="1"/>
  <c r="Q101" i="2"/>
  <c r="S100" i="2" s="1"/>
  <c r="Q102" i="2"/>
  <c r="S101" i="2" s="1"/>
  <c r="Q103" i="2"/>
  <c r="S102" i="2" s="1"/>
  <c r="Q104" i="2"/>
  <c r="S103" i="2" s="1"/>
  <c r="Q105" i="2"/>
  <c r="S104" i="2" s="1"/>
  <c r="Q106" i="2"/>
  <c r="S105" i="2" s="1"/>
  <c r="Q107" i="2"/>
  <c r="S106" i="2" s="1"/>
  <c r="Q108" i="2"/>
  <c r="S107" i="2" s="1"/>
  <c r="Q109" i="2"/>
  <c r="S108" i="2" s="1"/>
  <c r="Q110" i="2"/>
  <c r="S109" i="2" s="1"/>
  <c r="Q111" i="2"/>
  <c r="S110" i="2" s="1"/>
  <c r="Q112" i="2"/>
  <c r="S111" i="2" s="1"/>
  <c r="Q113" i="2"/>
  <c r="S112" i="2" s="1"/>
  <c r="Q114" i="2"/>
  <c r="S113" i="2" s="1"/>
  <c r="Q115" i="2"/>
  <c r="S114" i="2" s="1"/>
  <c r="Q116" i="2"/>
  <c r="S115" i="2" s="1"/>
  <c r="Q117" i="2"/>
  <c r="S116" i="2" s="1"/>
  <c r="Q118" i="2"/>
  <c r="S117" i="2" s="1"/>
  <c r="Q119" i="2"/>
  <c r="S118" i="2" s="1"/>
  <c r="Q2" i="2"/>
  <c r="P115" i="2"/>
  <c r="R115" i="2" s="1"/>
  <c r="P118" i="2"/>
  <c r="R118" i="2" s="1"/>
  <c r="P109" i="2"/>
  <c r="R109" i="2" s="1"/>
  <c r="P119" i="2"/>
  <c r="R119" i="2" s="1"/>
  <c r="P117" i="2"/>
  <c r="R117" i="2" s="1"/>
  <c r="P108" i="2"/>
  <c r="R108" i="2" s="1"/>
  <c r="P113" i="2"/>
  <c r="R113" i="2" s="1"/>
  <c r="P107" i="2"/>
  <c r="R107" i="2" s="1"/>
  <c r="P105" i="2"/>
  <c r="R105" i="2" s="1"/>
  <c r="P106" i="2"/>
  <c r="R106" i="2" s="1"/>
  <c r="P111" i="2"/>
  <c r="R111" i="2" s="1"/>
  <c r="P114" i="2"/>
  <c r="R114" i="2" s="1"/>
  <c r="P112" i="2"/>
  <c r="R112" i="2" s="1"/>
  <c r="P100" i="2"/>
  <c r="R100" i="2" s="1"/>
  <c r="P116" i="2"/>
  <c r="R116" i="2" s="1"/>
  <c r="P99" i="2"/>
  <c r="R99" i="2" s="1"/>
  <c r="P91" i="2"/>
  <c r="R91" i="2" s="1"/>
  <c r="P102" i="2"/>
  <c r="R102" i="2" s="1"/>
  <c r="P104" i="2"/>
  <c r="R104" i="2" s="1"/>
  <c r="P95" i="2"/>
  <c r="R95" i="2" s="1"/>
  <c r="P94" i="2"/>
  <c r="R94" i="2" s="1"/>
  <c r="P103" i="2"/>
  <c r="R103" i="2" s="1"/>
  <c r="P93" i="2"/>
  <c r="R93" i="2" s="1"/>
  <c r="P97" i="2"/>
  <c r="R97" i="2" s="1"/>
  <c r="P101" i="2"/>
  <c r="R101" i="2" s="1"/>
  <c r="P98" i="2"/>
  <c r="R98" i="2" s="1"/>
  <c r="P88" i="2"/>
  <c r="R88" i="2" s="1"/>
  <c r="P78" i="2"/>
  <c r="R78" i="2" s="1"/>
  <c r="P87" i="2"/>
  <c r="R87" i="2" s="1"/>
  <c r="P84" i="2"/>
  <c r="R84" i="2" s="1"/>
  <c r="P89" i="2"/>
  <c r="R89" i="2" s="1"/>
  <c r="P86" i="2"/>
  <c r="R86" i="2" s="1"/>
  <c r="P92" i="2"/>
  <c r="R92" i="2" s="1"/>
  <c r="P90" i="2"/>
  <c r="R90" i="2" s="1"/>
  <c r="P96" i="2"/>
  <c r="R96" i="2" s="1"/>
  <c r="P81" i="2"/>
  <c r="R81" i="2" s="1"/>
  <c r="P85" i="2"/>
  <c r="R85" i="2" s="1"/>
  <c r="P71" i="2"/>
  <c r="R71" i="2" s="1"/>
  <c r="P83" i="2"/>
  <c r="R83" i="2" s="1"/>
  <c r="P82" i="2"/>
  <c r="R82" i="2" s="1"/>
  <c r="P68" i="2"/>
  <c r="R68" i="2" s="1"/>
  <c r="P76" i="2"/>
  <c r="R76" i="2" s="1"/>
  <c r="P77" i="2"/>
  <c r="R77" i="2" s="1"/>
  <c r="P80" i="2"/>
  <c r="R80" i="2" s="1"/>
  <c r="P69" i="2"/>
  <c r="R69" i="2" s="1"/>
  <c r="P79" i="2"/>
  <c r="R79" i="2" s="1"/>
  <c r="P66" i="2"/>
  <c r="R66" i="2" s="1"/>
  <c r="P70" i="2"/>
  <c r="R70" i="2" s="1"/>
  <c r="P72" i="2"/>
  <c r="R72" i="2" s="1"/>
  <c r="P61" i="2"/>
  <c r="R61" i="2" s="1"/>
  <c r="P73" i="2"/>
  <c r="R73" i="2" s="1"/>
  <c r="P74" i="2"/>
  <c r="R74" i="2" s="1"/>
  <c r="P67" i="2"/>
  <c r="R67" i="2" s="1"/>
  <c r="P62" i="2"/>
  <c r="R62" i="2" s="1"/>
  <c r="P65" i="2"/>
  <c r="R65" i="2" s="1"/>
  <c r="P75" i="2"/>
  <c r="R75" i="2" s="1"/>
  <c r="P54" i="2"/>
  <c r="R54" i="2" s="1"/>
  <c r="P59" i="2"/>
  <c r="R59" i="2" s="1"/>
  <c r="P55" i="2"/>
  <c r="R55" i="2" s="1"/>
  <c r="P60" i="2"/>
  <c r="R60" i="2" s="1"/>
  <c r="P51" i="2"/>
  <c r="R51" i="2" s="1"/>
  <c r="P57" i="2"/>
  <c r="R57" i="2" s="1"/>
  <c r="P63" i="2"/>
  <c r="R63" i="2" s="1"/>
  <c r="P64" i="2"/>
  <c r="R64" i="2" s="1"/>
  <c r="P58" i="2"/>
  <c r="R58" i="2" s="1"/>
  <c r="P44" i="2"/>
  <c r="R44" i="2" s="1"/>
  <c r="P52" i="2"/>
  <c r="R52" i="2" s="1"/>
  <c r="P49" i="2"/>
  <c r="R49" i="2" s="1"/>
  <c r="P53" i="2"/>
  <c r="R53" i="2" s="1"/>
  <c r="P39" i="2"/>
  <c r="R39" i="2" s="1"/>
  <c r="P42" i="2"/>
  <c r="R42" i="2" s="1"/>
  <c r="P46" i="2"/>
  <c r="R46" i="2" s="1"/>
  <c r="P50" i="2"/>
  <c r="R50" i="2" s="1"/>
  <c r="P56" i="2"/>
  <c r="R56" i="2" s="1"/>
  <c r="P47" i="2"/>
  <c r="R47" i="2" s="1"/>
  <c r="P36" i="2"/>
  <c r="R36" i="2" s="1"/>
  <c r="P48" i="2"/>
  <c r="R48" i="2" s="1"/>
  <c r="P30" i="2"/>
  <c r="R30" i="2" s="1"/>
  <c r="P41" i="2"/>
  <c r="R41" i="2" s="1"/>
  <c r="P45" i="2"/>
  <c r="R45" i="2" s="1"/>
  <c r="P37" i="2"/>
  <c r="R37" i="2" s="1"/>
  <c r="P35" i="2"/>
  <c r="R35" i="2" s="1"/>
  <c r="P40" i="2"/>
  <c r="R40" i="2" s="1"/>
  <c r="P32" i="2"/>
  <c r="R32" i="2" s="1"/>
  <c r="P43" i="2"/>
  <c r="R43" i="2" s="1"/>
  <c r="P34" i="2"/>
  <c r="R34" i="2" s="1"/>
  <c r="P28" i="2"/>
  <c r="R28" i="2" s="1"/>
  <c r="P33" i="2"/>
  <c r="R33" i="2" s="1"/>
  <c r="P21" i="2"/>
  <c r="R21" i="2" s="1"/>
  <c r="P19" i="2"/>
  <c r="R19" i="2" s="1"/>
  <c r="P29" i="2"/>
  <c r="R29" i="2" s="1"/>
  <c r="P23" i="2"/>
  <c r="R23" i="2" s="1"/>
  <c r="P25" i="2"/>
  <c r="R25" i="2" s="1"/>
  <c r="P38" i="2"/>
  <c r="R38" i="2" s="1"/>
  <c r="P31" i="2"/>
  <c r="R31" i="2" s="1"/>
  <c r="P26" i="2"/>
  <c r="R26" i="2" s="1"/>
  <c r="P18" i="2"/>
  <c r="R18" i="2" s="1"/>
  <c r="P12" i="2"/>
  <c r="R12" i="2" s="1"/>
  <c r="P27" i="2"/>
  <c r="R27" i="2" s="1"/>
  <c r="P15" i="2"/>
  <c r="R15" i="2" s="1"/>
  <c r="P16" i="2"/>
  <c r="R16" i="2" s="1"/>
  <c r="P22" i="2"/>
  <c r="R22" i="2" s="1"/>
  <c r="P24" i="2"/>
  <c r="R24" i="2" s="1"/>
  <c r="P14" i="2"/>
  <c r="R14" i="2" s="1"/>
  <c r="P20" i="2"/>
  <c r="R20" i="2" s="1"/>
  <c r="P4" i="2"/>
  <c r="R4" i="2" s="1"/>
  <c r="P8" i="2"/>
  <c r="R8" i="2" s="1"/>
  <c r="P3" i="2"/>
  <c r="R3" i="2" s="1"/>
  <c r="P13" i="2"/>
  <c r="R13" i="2" s="1"/>
  <c r="P2" i="2"/>
  <c r="R2" i="2" s="1"/>
  <c r="P17" i="2"/>
  <c r="R17" i="2" s="1"/>
  <c r="P5" i="2"/>
  <c r="R5" i="2" s="1"/>
  <c r="P9" i="2"/>
  <c r="R9" i="2" s="1"/>
  <c r="P10" i="2"/>
  <c r="R10" i="2" s="1"/>
  <c r="P11" i="2"/>
  <c r="R11" i="2" s="1"/>
  <c r="P7" i="2"/>
  <c r="R7" i="2" s="1"/>
  <c r="P6" i="2"/>
  <c r="R6" i="2" s="1"/>
  <c r="P110" i="2"/>
  <c r="R110" i="2" s="1"/>
  <c r="N115" i="2"/>
  <c r="O110" i="2"/>
  <c r="O115" i="2"/>
  <c r="O118" i="2"/>
  <c r="O109" i="2"/>
  <c r="O119" i="2"/>
  <c r="O117" i="2"/>
  <c r="O108" i="2"/>
  <c r="O113" i="2"/>
  <c r="O107" i="2"/>
  <c r="O105" i="2"/>
  <c r="O106" i="2"/>
  <c r="O111" i="2"/>
  <c r="O114" i="2"/>
  <c r="O112" i="2"/>
  <c r="O100" i="2"/>
  <c r="O116" i="2"/>
  <c r="O99" i="2"/>
  <c r="O91" i="2"/>
  <c r="O102" i="2"/>
  <c r="O104" i="2"/>
  <c r="O95" i="2"/>
  <c r="O94" i="2"/>
  <c r="O103" i="2"/>
  <c r="O93" i="2"/>
  <c r="O97" i="2"/>
  <c r="O101" i="2"/>
  <c r="O98" i="2"/>
  <c r="O88" i="2"/>
  <c r="O78" i="2"/>
  <c r="O87" i="2"/>
  <c r="O84" i="2"/>
  <c r="O89" i="2"/>
  <c r="O86" i="2"/>
  <c r="O92" i="2"/>
  <c r="O90" i="2"/>
  <c r="O96" i="2"/>
  <c r="O81" i="2"/>
  <c r="O85" i="2"/>
  <c r="O71" i="2"/>
  <c r="O83" i="2"/>
  <c r="O82" i="2"/>
  <c r="O68" i="2"/>
  <c r="O76" i="2"/>
  <c r="O77" i="2"/>
  <c r="O80" i="2"/>
  <c r="O69" i="2"/>
  <c r="O79" i="2"/>
  <c r="O66" i="2"/>
  <c r="O70" i="2"/>
  <c r="O72" i="2"/>
  <c r="O61" i="2"/>
  <c r="O73" i="2"/>
  <c r="O74" i="2"/>
  <c r="O67" i="2"/>
  <c r="O62" i="2"/>
  <c r="O65" i="2"/>
  <c r="O75" i="2"/>
  <c r="O54" i="2"/>
  <c r="O59" i="2"/>
  <c r="O55" i="2"/>
  <c r="O60" i="2"/>
  <c r="O51" i="2"/>
  <c r="O57" i="2"/>
  <c r="O63" i="2"/>
  <c r="O64" i="2"/>
  <c r="O58" i="2"/>
  <c r="O44" i="2"/>
  <c r="O52" i="2"/>
  <c r="O49" i="2"/>
  <c r="O53" i="2"/>
  <c r="O39" i="2"/>
  <c r="O42" i="2"/>
  <c r="O46" i="2"/>
  <c r="O50" i="2"/>
  <c r="O56" i="2"/>
  <c r="O47" i="2"/>
  <c r="O36" i="2"/>
  <c r="O48" i="2"/>
  <c r="O30" i="2"/>
  <c r="O41" i="2"/>
  <c r="O45" i="2"/>
  <c r="O37" i="2"/>
  <c r="O35" i="2"/>
  <c r="O40" i="2"/>
  <c r="O32" i="2"/>
  <c r="O43" i="2"/>
  <c r="O34" i="2"/>
  <c r="O28" i="2"/>
  <c r="O33" i="2"/>
  <c r="O21" i="2"/>
  <c r="O19" i="2"/>
  <c r="O29" i="2"/>
  <c r="O23" i="2"/>
  <c r="O25" i="2"/>
  <c r="O38" i="2"/>
  <c r="O31" i="2"/>
  <c r="O26" i="2"/>
  <c r="O18" i="2"/>
  <c r="O12" i="2"/>
  <c r="O27" i="2"/>
  <c r="O15" i="2"/>
  <c r="O16" i="2"/>
  <c r="O22" i="2"/>
  <c r="O24" i="2"/>
  <c r="O14" i="2"/>
  <c r="O20" i="2"/>
  <c r="O4" i="2"/>
  <c r="O8" i="2"/>
  <c r="O3" i="2"/>
  <c r="O13" i="2"/>
  <c r="O2" i="2"/>
  <c r="O17" i="2"/>
  <c r="O5" i="2"/>
  <c r="O9" i="2"/>
  <c r="O10" i="2"/>
  <c r="O11" i="2"/>
  <c r="O7" i="2"/>
  <c r="O6" i="2"/>
  <c r="N118" i="2"/>
  <c r="N109" i="2"/>
  <c r="N119" i="2"/>
  <c r="N117" i="2"/>
  <c r="N108" i="2"/>
  <c r="N113" i="2"/>
  <c r="N107" i="2"/>
  <c r="N105" i="2"/>
  <c r="N106" i="2"/>
  <c r="N111" i="2"/>
  <c r="N114" i="2"/>
  <c r="N112" i="2"/>
  <c r="N100" i="2"/>
  <c r="N116" i="2"/>
  <c r="N99" i="2"/>
  <c r="N91" i="2"/>
  <c r="N102" i="2"/>
  <c r="N104" i="2"/>
  <c r="N95" i="2"/>
  <c r="N94" i="2"/>
  <c r="N103" i="2"/>
  <c r="N93" i="2"/>
  <c r="N97" i="2"/>
  <c r="N101" i="2"/>
  <c r="N98" i="2"/>
  <c r="N88" i="2"/>
  <c r="N78" i="2"/>
  <c r="N87" i="2"/>
  <c r="N84" i="2"/>
  <c r="N89" i="2"/>
  <c r="N86" i="2"/>
  <c r="N92" i="2"/>
  <c r="N90" i="2"/>
  <c r="N96" i="2"/>
  <c r="N81" i="2"/>
  <c r="N85" i="2"/>
  <c r="N71" i="2"/>
  <c r="N83" i="2"/>
  <c r="N82" i="2"/>
  <c r="N68" i="2"/>
  <c r="N76" i="2"/>
  <c r="N77" i="2"/>
  <c r="N80" i="2"/>
  <c r="N69" i="2"/>
  <c r="N79" i="2"/>
  <c r="N66" i="2"/>
  <c r="N70" i="2"/>
  <c r="N72" i="2"/>
  <c r="N61" i="2"/>
  <c r="N73" i="2"/>
  <c r="N74" i="2"/>
  <c r="N67" i="2"/>
  <c r="N62" i="2"/>
  <c r="N65" i="2"/>
  <c r="N75" i="2"/>
  <c r="N54" i="2"/>
  <c r="N59" i="2"/>
  <c r="N55" i="2"/>
  <c r="N60" i="2"/>
  <c r="N51" i="2"/>
  <c r="N57" i="2"/>
  <c r="N63" i="2"/>
  <c r="N64" i="2"/>
  <c r="N58" i="2"/>
  <c r="N44" i="2"/>
  <c r="N52" i="2"/>
  <c r="N49" i="2"/>
  <c r="N53" i="2"/>
  <c r="N39" i="2"/>
  <c r="N42" i="2"/>
  <c r="N46" i="2"/>
  <c r="N50" i="2"/>
  <c r="N56" i="2"/>
  <c r="N47" i="2"/>
  <c r="N36" i="2"/>
  <c r="N48" i="2"/>
  <c r="N30" i="2"/>
  <c r="N41" i="2"/>
  <c r="N45" i="2"/>
  <c r="N37" i="2"/>
  <c r="N35" i="2"/>
  <c r="N40" i="2"/>
  <c r="N32" i="2"/>
  <c r="N43" i="2"/>
  <c r="N34" i="2"/>
  <c r="N28" i="2"/>
  <c r="N33" i="2"/>
  <c r="N21" i="2"/>
  <c r="N19" i="2"/>
  <c r="N29" i="2"/>
  <c r="N23" i="2"/>
  <c r="N25" i="2"/>
  <c r="N38" i="2"/>
  <c r="N31" i="2"/>
  <c r="N26" i="2"/>
  <c r="N18" i="2"/>
  <c r="N12" i="2"/>
  <c r="N27" i="2"/>
  <c r="N15" i="2"/>
  <c r="N16" i="2"/>
  <c r="N22" i="2"/>
  <c r="N24" i="2"/>
  <c r="N14" i="2"/>
  <c r="N20" i="2"/>
  <c r="N4" i="2"/>
  <c r="N8" i="2"/>
  <c r="N3" i="2"/>
  <c r="N13" i="2"/>
  <c r="N2" i="2"/>
  <c r="N17" i="2"/>
  <c r="N5" i="2"/>
  <c r="N9" i="2"/>
  <c r="N10" i="2"/>
  <c r="N11" i="2"/>
  <c r="N7" i="2"/>
  <c r="N6" i="2"/>
  <c r="N110" i="2"/>
</calcChain>
</file>

<file path=xl/sharedStrings.xml><?xml version="1.0" encoding="utf-8"?>
<sst xmlns="http://schemas.openxmlformats.org/spreadsheetml/2006/main" count="11777" uniqueCount="388">
  <si>
    <t>Project ID</t>
  </si>
  <si>
    <t>Activity ID</t>
  </si>
  <si>
    <t>Activity Status</t>
  </si>
  <si>
    <t>WBS Code</t>
  </si>
  <si>
    <t>Activity Name</t>
  </si>
  <si>
    <t>Code [Life Cycle]</t>
  </si>
  <si>
    <t>Code [Trade]</t>
  </si>
  <si>
    <t>Performance %</t>
  </si>
  <si>
    <t>Schedule %</t>
  </si>
  <si>
    <t>Budgeted Value</t>
  </si>
  <si>
    <t>Earned Value</t>
  </si>
  <si>
    <t>Planned Value</t>
  </si>
  <si>
    <t>Original Duration</t>
  </si>
  <si>
    <t>Planned Start</t>
  </si>
  <si>
    <t>Planned Finish</t>
  </si>
  <si>
    <t>Actual Start</t>
  </si>
  <si>
    <t>Actual Finish</t>
  </si>
  <si>
    <t>Start</t>
  </si>
  <si>
    <t>Finish</t>
  </si>
  <si>
    <t>PCS_PJ02</t>
  </si>
  <si>
    <t>EN.GE.0010</t>
  </si>
  <si>
    <t>Completed</t>
  </si>
  <si>
    <t>OMEGA.UD.[AUG23].EN.GE</t>
  </si>
  <si>
    <t>Specifications</t>
  </si>
  <si>
    <t>EN</t>
  </si>
  <si>
    <t>GR</t>
  </si>
  <si>
    <t>100</t>
  </si>
  <si>
    <t>0</t>
  </si>
  <si>
    <t>1</t>
  </si>
  <si>
    <t>EN.GE.0020</t>
  </si>
  <si>
    <t>SLD</t>
  </si>
  <si>
    <t>EL</t>
  </si>
  <si>
    <t>7</t>
  </si>
  <si>
    <t>EN.GE.0030</t>
  </si>
  <si>
    <t>P&amp;ID</t>
  </si>
  <si>
    <t>CP</t>
  </si>
  <si>
    <t>10</t>
  </si>
  <si>
    <t>EN.C1.0010</t>
  </si>
  <si>
    <t>OMEGA.UD.[AUG23].EN.C1.CIV</t>
  </si>
  <si>
    <t>Boreholes C1</t>
  </si>
  <si>
    <t>CV</t>
  </si>
  <si>
    <t>5</t>
  </si>
  <si>
    <t>EN.C1.0020</t>
  </si>
  <si>
    <t>OMEGA.UD.[AUG23].EN.C1.MEC</t>
  </si>
  <si>
    <t>Mechanical General Arrangement C1</t>
  </si>
  <si>
    <t>MC</t>
  </si>
  <si>
    <t>EN.C1.0030</t>
  </si>
  <si>
    <t>OMEGA.UD.[AUG23].EN.C1.ELC</t>
  </si>
  <si>
    <t>Electrical Equipment Arrangement C1</t>
  </si>
  <si>
    <t>8</t>
  </si>
  <si>
    <t>EN.C1.0040</t>
  </si>
  <si>
    <t>Architectural Drawings C1</t>
  </si>
  <si>
    <t>6</t>
  </si>
  <si>
    <t>EN.C1.0050</t>
  </si>
  <si>
    <t>RC Structural Drawings C1</t>
  </si>
  <si>
    <t>EN.C1.0060</t>
  </si>
  <si>
    <t>Steel Drawings C1</t>
  </si>
  <si>
    <t>12</t>
  </si>
  <si>
    <t>EN.C1.0070</t>
  </si>
  <si>
    <t>OMEGA.UD.[AUG23].EN.C1.MEP</t>
  </si>
  <si>
    <t>MEP-E Drawings C1</t>
  </si>
  <si>
    <t>ME</t>
  </si>
  <si>
    <t>EN.C1.0080</t>
  </si>
  <si>
    <t>MEP-M Drawings C1</t>
  </si>
  <si>
    <t>MM</t>
  </si>
  <si>
    <t>EN.C2.0010</t>
  </si>
  <si>
    <t>OMEGA.UD.[AUG23].EN.C2.CIV</t>
  </si>
  <si>
    <t>Boreholes C2</t>
  </si>
  <si>
    <t>EN.C2.0020</t>
  </si>
  <si>
    <t>OMEGA.UD.[AUG23].EN.C2.MEC</t>
  </si>
  <si>
    <t>Mechanical General Arrangement C2</t>
  </si>
  <si>
    <t>EN.C2.0030</t>
  </si>
  <si>
    <t>OMEGA.UD.[AUG23].EN.C2.ELC</t>
  </si>
  <si>
    <t>Electrical Equipment Arrangement C2</t>
  </si>
  <si>
    <t>EN.C2.0040</t>
  </si>
  <si>
    <t>Architectural Drawings C2</t>
  </si>
  <si>
    <t>EN.C2.0050</t>
  </si>
  <si>
    <t>RC Structural Drawings C2</t>
  </si>
  <si>
    <t>EN.C2.0060</t>
  </si>
  <si>
    <t>Steel Drawings C2</t>
  </si>
  <si>
    <t>EN.C2.0070</t>
  </si>
  <si>
    <t>OMEGA.UD.[AUG23].EN.C2.MEP</t>
  </si>
  <si>
    <t>MEP-E Drawings C2</t>
  </si>
  <si>
    <t>EN.C2.0080</t>
  </si>
  <si>
    <t>MEP-M Drawings C2</t>
  </si>
  <si>
    <t>EN.C3.0010</t>
  </si>
  <si>
    <t>OMEGA.UD.[AUG23].EN.C3.CIV</t>
  </si>
  <si>
    <t>Boreholes C3</t>
  </si>
  <si>
    <t>EN.C3.0020</t>
  </si>
  <si>
    <t>OMEGA.UD.[AUG23].EN.C3.MEC</t>
  </si>
  <si>
    <t>Mechanical General Arrangement C3</t>
  </si>
  <si>
    <t>EN.C3.0030</t>
  </si>
  <si>
    <t>OMEGA.UD.[AUG23].EN.C3.ELC</t>
  </si>
  <si>
    <t>Electrical Equipment Arrangement C3</t>
  </si>
  <si>
    <t>EN.C3.0040</t>
  </si>
  <si>
    <t>Architectural Drawings C3</t>
  </si>
  <si>
    <t>EN.C3.0050</t>
  </si>
  <si>
    <t>RC Structural Drawings C3</t>
  </si>
  <si>
    <t>EN.C3.0060</t>
  </si>
  <si>
    <t>Steel Drawings C3</t>
  </si>
  <si>
    <t>EN.C3.0070</t>
  </si>
  <si>
    <t>OMEGA.UD.[AUG23].EN.C3.MEP</t>
  </si>
  <si>
    <t>MEP-E Drawings C3</t>
  </si>
  <si>
    <t>EN.C3.0080</t>
  </si>
  <si>
    <t>MEP-M Drawings C3</t>
  </si>
  <si>
    <t>EN.C4.0010</t>
  </si>
  <si>
    <t>OMEGA.UD.[AUG23].EN.C4.CIV</t>
  </si>
  <si>
    <t>Boreholes C4</t>
  </si>
  <si>
    <t>EN.C4.0020</t>
  </si>
  <si>
    <t>OMEGA.UD.[AUG23].EN.C4.MEC</t>
  </si>
  <si>
    <t>Mechanical General Arrangement C4</t>
  </si>
  <si>
    <t>EN.C4.0030</t>
  </si>
  <si>
    <t>OMEGA.UD.[AUG23].EN.C4.ELC</t>
  </si>
  <si>
    <t>Electrical Equipment Arrangement C4</t>
  </si>
  <si>
    <t>EN.C4.0040</t>
  </si>
  <si>
    <t>Architectural Drawings C4</t>
  </si>
  <si>
    <t>EN.C4.0050</t>
  </si>
  <si>
    <t>RC Structural Drawings C4</t>
  </si>
  <si>
    <t>EN.C4.0060</t>
  </si>
  <si>
    <t>Steel Drawings C4</t>
  </si>
  <si>
    <t>EN.C4.0070</t>
  </si>
  <si>
    <t>OMEGA.UD.[AUG23].EN.C4.MEP</t>
  </si>
  <si>
    <t>MEP-E Drawings C4</t>
  </si>
  <si>
    <t>EN.C4.0080</t>
  </si>
  <si>
    <t>MEP-M Drawings C4</t>
  </si>
  <si>
    <t>PC.GE.0010</t>
  </si>
  <si>
    <t>OMEGA.UD.[AUG23].PC</t>
  </si>
  <si>
    <t>Steel Structure</t>
  </si>
  <si>
    <t>PC</t>
  </si>
  <si>
    <t>20581443.2</t>
  </si>
  <si>
    <t>60</t>
  </si>
  <si>
    <t>PC.GE.0020</t>
  </si>
  <si>
    <t>Steel Sandwich Panels</t>
  </si>
  <si>
    <t>6068664.8</t>
  </si>
  <si>
    <t>PC.GE.0030</t>
  </si>
  <si>
    <t>Mechanical Components</t>
  </si>
  <si>
    <t>70743292</t>
  </si>
  <si>
    <t>90</t>
  </si>
  <si>
    <t>PC.GE.0040</t>
  </si>
  <si>
    <t>Electrical Equipment</t>
  </si>
  <si>
    <t>46900305.6</t>
  </si>
  <si>
    <t>PC.GE.0050</t>
  </si>
  <si>
    <t>Electrical Cables</t>
  </si>
  <si>
    <t>5499250.4</t>
  </si>
  <si>
    <t>PC.GE.0060</t>
  </si>
  <si>
    <t>MEP-E</t>
  </si>
  <si>
    <t>594660</t>
  </si>
  <si>
    <t>30</t>
  </si>
  <si>
    <t>PC.GE.0070</t>
  </si>
  <si>
    <t>MEP-M</t>
  </si>
  <si>
    <t>400184.8</t>
  </si>
  <si>
    <t>PC.GE.0080</t>
  </si>
  <si>
    <t>Control System</t>
  </si>
  <si>
    <t>8743732</t>
  </si>
  <si>
    <t>120</t>
  </si>
  <si>
    <t>PC.GE.0090</t>
  </si>
  <si>
    <t>Control Cables</t>
  </si>
  <si>
    <t>3323894.4</t>
  </si>
  <si>
    <t>CN.C1.0010</t>
  </si>
  <si>
    <t>OMEGA.UD.[AUG23].CN.C1.CIV</t>
  </si>
  <si>
    <t>Excavation C1</t>
  </si>
  <si>
    <t>CN</t>
  </si>
  <si>
    <t>1067017.6</t>
  </si>
  <si>
    <t>20</t>
  </si>
  <si>
    <t>CN.C1.0020</t>
  </si>
  <si>
    <t>Backfilling C1</t>
  </si>
  <si>
    <t>966984.8</t>
  </si>
  <si>
    <t>CN.C1.0030</t>
  </si>
  <si>
    <t>PC C1</t>
  </si>
  <si>
    <t>160052.8</t>
  </si>
  <si>
    <t>16</t>
  </si>
  <si>
    <t>CN.C1.0040</t>
  </si>
  <si>
    <t>RC SubStructure C1</t>
  </si>
  <si>
    <t>1900625.6</t>
  </si>
  <si>
    <t>24</t>
  </si>
  <si>
    <t>CN.C1.0050</t>
  </si>
  <si>
    <t>RC SuperStructure C1</t>
  </si>
  <si>
    <t>2090938.4</t>
  </si>
  <si>
    <t>18</t>
  </si>
  <si>
    <t>CN.C1.0060</t>
  </si>
  <si>
    <t>Steel Structure C1</t>
  </si>
  <si>
    <t>2770579.2</t>
  </si>
  <si>
    <t>22</t>
  </si>
  <si>
    <t>CN.C1.0070</t>
  </si>
  <si>
    <t>Steel Sandwich Panels C1</t>
  </si>
  <si>
    <t>816936</t>
  </si>
  <si>
    <t>19</t>
  </si>
  <si>
    <t>CN.C1.0080</t>
  </si>
  <si>
    <t>OMEGA.UD.[AUG23].CN.C1.MEC</t>
  </si>
  <si>
    <t>Install Mechanical Components C1</t>
  </si>
  <si>
    <t>9523135.2</t>
  </si>
  <si>
    <t>CN.C1.0090</t>
  </si>
  <si>
    <t>Not Started</t>
  </si>
  <si>
    <t>OMEGA.UD.[AUG23].CN.C1.ELC</t>
  </si>
  <si>
    <t>Install Electrical Equipment C1</t>
  </si>
  <si>
    <t>7053786.4</t>
  </si>
  <si>
    <t/>
  </si>
  <si>
    <t>CN.C1.0100</t>
  </si>
  <si>
    <t>OMEGA.UD.[AUG23].CN.C1.MEP</t>
  </si>
  <si>
    <t>Install MEP-E C1</t>
  </si>
  <si>
    <t>80050.4</t>
  </si>
  <si>
    <t>9</t>
  </si>
  <si>
    <t>CN.C1.0110</t>
  </si>
  <si>
    <t>Install MEP-M C1</t>
  </si>
  <si>
    <t>53871.2</t>
  </si>
  <si>
    <t>CN.C1.0120</t>
  </si>
  <si>
    <t>OMEGA.UD.[AUG23].CN.C1.C&amp;P</t>
  </si>
  <si>
    <t>Install Control System C1</t>
  </si>
  <si>
    <t>7.14</t>
  </si>
  <si>
    <t>1624488</t>
  </si>
  <si>
    <t>116034.86</t>
  </si>
  <si>
    <t>28</t>
  </si>
  <si>
    <t>CN.C2.0010</t>
  </si>
  <si>
    <t>OMEGA.UD.[AUG23].CN.C2.CIV</t>
  </si>
  <si>
    <t>Excavation C2</t>
  </si>
  <si>
    <t>CN.C2.0020</t>
  </si>
  <si>
    <t>Backfilling C2</t>
  </si>
  <si>
    <t>CN.C2.0030</t>
  </si>
  <si>
    <t>PC C2</t>
  </si>
  <si>
    <t>CN.C2.0040</t>
  </si>
  <si>
    <t>RC SubStructure C2</t>
  </si>
  <si>
    <t>CN.C2.0050</t>
  </si>
  <si>
    <t>RC SuperStructure C2</t>
  </si>
  <si>
    <t>CN.C2.0060</t>
  </si>
  <si>
    <t>Steel Structure C2</t>
  </si>
  <si>
    <t>CN.C2.0070</t>
  </si>
  <si>
    <t>Steel Sandwich Panels C2</t>
  </si>
  <si>
    <t>68.42</t>
  </si>
  <si>
    <t>558956.21</t>
  </si>
  <si>
    <t>CN.C2.0080</t>
  </si>
  <si>
    <t>OMEGA.UD.[AUG23].CN.C2.MEC</t>
  </si>
  <si>
    <t>Install Mechanical Components C2</t>
  </si>
  <si>
    <t>CN.C2.0090</t>
  </si>
  <si>
    <t>OMEGA.UD.[AUG23].CN.C2.ELC</t>
  </si>
  <si>
    <t>Install Electrical Equipment C2</t>
  </si>
  <si>
    <t>CN.C2.0100</t>
  </si>
  <si>
    <t>OMEGA.UD.[AUG23].CN.C2.MEP</t>
  </si>
  <si>
    <t>Install MEP-E C2</t>
  </si>
  <si>
    <t>33.33</t>
  </si>
  <si>
    <t>26683.47</t>
  </si>
  <si>
    <t>CN.C2.0110</t>
  </si>
  <si>
    <t>Install MEP-M C2</t>
  </si>
  <si>
    <t>CN.C2.0120</t>
  </si>
  <si>
    <t>OMEGA.UD.[AUG23].CN.C2.C&amp;P</t>
  </si>
  <si>
    <t>Install Control System C2</t>
  </si>
  <si>
    <t>CN.C3.0010</t>
  </si>
  <si>
    <t>OMEGA.UD.[AUG23].CN.C3.CIV</t>
  </si>
  <si>
    <t>Excavation C3</t>
  </si>
  <si>
    <t>CN.C3.0020</t>
  </si>
  <si>
    <t>Backfilling C3</t>
  </si>
  <si>
    <t>CN.C3.0030</t>
  </si>
  <si>
    <t>PC C3</t>
  </si>
  <si>
    <t>CN.C3.0040</t>
  </si>
  <si>
    <t>RC SubStructure C3</t>
  </si>
  <si>
    <t>CN.C3.0050</t>
  </si>
  <si>
    <t>RC SuperStructure C3</t>
  </si>
  <si>
    <t>CN.C3.0060</t>
  </si>
  <si>
    <t>Steel Structure C3</t>
  </si>
  <si>
    <t>22.73</t>
  </si>
  <si>
    <t>629677.09</t>
  </si>
  <si>
    <t>CN.C3.0070</t>
  </si>
  <si>
    <t>Steel Sandwich Panels C3</t>
  </si>
  <si>
    <t>CN.C3.0080</t>
  </si>
  <si>
    <t>In Progress</t>
  </si>
  <si>
    <t>OMEGA.UD.[AUG23].CN.C3.MEC</t>
  </si>
  <si>
    <t>Install Mechanical Components C3</t>
  </si>
  <si>
    <t>1904627.04</t>
  </si>
  <si>
    <t>CN.C3.0090</t>
  </si>
  <si>
    <t>OMEGA.UD.[AUG23].CN.C3.ELC</t>
  </si>
  <si>
    <t>Install Electrical Equipment C3</t>
  </si>
  <si>
    <t>CN.C3.0100</t>
  </si>
  <si>
    <t>OMEGA.UD.[AUG23].CN.C3.MEP</t>
  </si>
  <si>
    <t>Install MEP-E C3</t>
  </si>
  <si>
    <t>CN.C3.0110</t>
  </si>
  <si>
    <t>Install MEP-M C3</t>
  </si>
  <si>
    <t>CN.C3.0120</t>
  </si>
  <si>
    <t>OMEGA.UD.[AUG23].CN.C3.C&amp;P</t>
  </si>
  <si>
    <t>Install Control System C3</t>
  </si>
  <si>
    <t>CN.C4.0010</t>
  </si>
  <si>
    <t>OMEGA.UD.[AUG23].CN.C4.CIV</t>
  </si>
  <si>
    <t>Excavation C4</t>
  </si>
  <si>
    <t>CN.C4.0020</t>
  </si>
  <si>
    <t>Backfilling C4</t>
  </si>
  <si>
    <t>CN.C4.0030</t>
  </si>
  <si>
    <t>PC C4</t>
  </si>
  <si>
    <t>CN.C4.0040</t>
  </si>
  <si>
    <t>RC SubStructure C4</t>
  </si>
  <si>
    <t>CN.C4.0050</t>
  </si>
  <si>
    <t>RC SuperStructure C4</t>
  </si>
  <si>
    <t>CN.C4.0060</t>
  </si>
  <si>
    <t>Steel Structure C4</t>
  </si>
  <si>
    <t>CN.C4.0070</t>
  </si>
  <si>
    <t>Steel Sandwich Panels C4</t>
  </si>
  <si>
    <t>CN.C4.0080</t>
  </si>
  <si>
    <t>OMEGA.UD.[AUG23].CN.C4.MEC</t>
  </si>
  <si>
    <t>Install Mechanical Components C4</t>
  </si>
  <si>
    <t>16.67</t>
  </si>
  <si>
    <t>1587189.2</t>
  </si>
  <si>
    <t>CN.C4.0090</t>
  </si>
  <si>
    <t>OMEGA.UD.[AUG23].CN.C4.ELC</t>
  </si>
  <si>
    <t>Install Electrical Equipment C4</t>
  </si>
  <si>
    <t>CN.C4.0100</t>
  </si>
  <si>
    <t>OMEGA.UD.[AUG23].CN.C4.MEP</t>
  </si>
  <si>
    <t>Install MEP-E C4</t>
  </si>
  <si>
    <t>CN.C4.0110</t>
  </si>
  <si>
    <t>Install MEP-M C4</t>
  </si>
  <si>
    <t>CN.C4.0120</t>
  </si>
  <si>
    <t>OMEGA.UD.[AUG23].CN.C4.C&amp;P</t>
  </si>
  <si>
    <t>Install Control System C4</t>
  </si>
  <si>
    <t>TS.C1.0010</t>
  </si>
  <si>
    <t>OMEGA.UD.[AUG23].TS.C1.MEC</t>
  </si>
  <si>
    <t>Mechanical Testing C1</t>
  </si>
  <si>
    <t>TS</t>
  </si>
  <si>
    <t>TS.C1.0020</t>
  </si>
  <si>
    <t>OMEGA.UD.[AUG23].TS.C1.ELC</t>
  </si>
  <si>
    <t>Electrical Testing C1</t>
  </si>
  <si>
    <t>TS.C1.0030</t>
  </si>
  <si>
    <t>OMEGA.UD.[AUG23].TS.C1.MEP</t>
  </si>
  <si>
    <t>MEP-E Testing C1</t>
  </si>
  <si>
    <t>TS.C1.0040</t>
  </si>
  <si>
    <t>MEP-M Testing C1</t>
  </si>
  <si>
    <t>TS.C1.0050</t>
  </si>
  <si>
    <t>OMEGA.UD.[AUG23].TS.C1.C&amp;P</t>
  </si>
  <si>
    <t>Control Testing C1</t>
  </si>
  <si>
    <t>TS.C2.0010</t>
  </si>
  <si>
    <t>OMEGA.UD.[AUG23].TS.C2.MEC</t>
  </si>
  <si>
    <t>Mechanical Testing C2</t>
  </si>
  <si>
    <t>TS.C2.0020</t>
  </si>
  <si>
    <t>OMEGA.UD.[AUG23].TS.C2.ELC</t>
  </si>
  <si>
    <t>Electrical Testing C2</t>
  </si>
  <si>
    <t>TS.C2.0030</t>
  </si>
  <si>
    <t>OMEGA.UD.[AUG23].TS.C2.MEP</t>
  </si>
  <si>
    <t>MEP-E Testing C2</t>
  </si>
  <si>
    <t>TS.C2.0040</t>
  </si>
  <si>
    <t>MEP-M Testing C2</t>
  </si>
  <si>
    <t>TS.C2.0050</t>
  </si>
  <si>
    <t>OMEGA.UD.[AUG23].TS.C2.C&amp;P</t>
  </si>
  <si>
    <t>Control Testing C2</t>
  </si>
  <si>
    <t>TS.C3.0010</t>
  </si>
  <si>
    <t>OMEGA.UD.[AUG23].TS.C3.MEC</t>
  </si>
  <si>
    <t>Mechanical Testing C3</t>
  </si>
  <si>
    <t>83.33</t>
  </si>
  <si>
    <t>TS.C3.0020</t>
  </si>
  <si>
    <t>OMEGA.UD.[AUG23].TS.C3.ELC</t>
  </si>
  <si>
    <t>Electrical Testing C3</t>
  </si>
  <si>
    <t>TS.C3.0030</t>
  </si>
  <si>
    <t>OMEGA.UD.[AUG23].TS.C3.MEP</t>
  </si>
  <si>
    <t>MEP-E Testing C3</t>
  </si>
  <si>
    <t>TS.C3.0040</t>
  </si>
  <si>
    <t>MEP-M Testing C3</t>
  </si>
  <si>
    <t>TS.C3.0050</t>
  </si>
  <si>
    <t>OMEGA.UD.[AUG23].TS.C3.C&amp;P</t>
  </si>
  <si>
    <t>Control Testing C3</t>
  </si>
  <si>
    <t>TS.C4.0010</t>
  </si>
  <si>
    <t>OMEGA.UD.[AUG23].TS.C4.MEC</t>
  </si>
  <si>
    <t>Mechanical Testing C4</t>
  </si>
  <si>
    <t>TS.C4.0020</t>
  </si>
  <si>
    <t>OMEGA.UD.[AUG23].TS.C4.ELC</t>
  </si>
  <si>
    <t>Electrical Testing C4</t>
  </si>
  <si>
    <t>TS.C4.0030</t>
  </si>
  <si>
    <t>OMEGA.UD.[AUG23].TS.C4.MEP</t>
  </si>
  <si>
    <t>MEP-E Testing C4</t>
  </si>
  <si>
    <t>TS.C4.0040</t>
  </si>
  <si>
    <t>MEP-M Testing C4</t>
  </si>
  <si>
    <t>TS.C4.0050</t>
  </si>
  <si>
    <t>OMEGA.UD.[AUG23].TS.C4.C&amp;P</t>
  </si>
  <si>
    <t>Control Testing C4</t>
  </si>
  <si>
    <t>MS.GE.0010</t>
  </si>
  <si>
    <t>OMEGA.UD.[AUG23].MS.OA</t>
  </si>
  <si>
    <t>Project Start</t>
  </si>
  <si>
    <t>MS.GE.0020</t>
  </si>
  <si>
    <t>Project Finish</t>
  </si>
  <si>
    <t>MS.C1.0030</t>
  </si>
  <si>
    <t>OMEGA.UD.[AUG23].MS.ST</t>
  </si>
  <si>
    <t>C1 Finish</t>
  </si>
  <si>
    <t>MS.C2.0040</t>
  </si>
  <si>
    <t>C2 Finish</t>
  </si>
  <si>
    <t>MS.C3.0050</t>
  </si>
  <si>
    <t>C3 Finish</t>
  </si>
  <si>
    <t>MS.C4.0060</t>
  </si>
  <si>
    <t>C4 Finish</t>
  </si>
  <si>
    <t>Resource ID</t>
  </si>
  <si>
    <t>Spreadsheet Field</t>
  </si>
  <si>
    <t>EVSV</t>
  </si>
  <si>
    <t>Budgeted Units</t>
  </si>
  <si>
    <t>Actual Units</t>
  </si>
  <si>
    <t>Remaining Units</t>
  </si>
  <si>
    <t>WSSV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</si>
</sst>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4">
    <dxf>
      <numFmt numFmtId="19" formatCode="dd/mm/yyyy"/>
    </dxf>
    <dxf>
      <numFmt numFmtId="19" formatCode="dd/mm/yyyy"/>
    </dxf>
    <dxf>
      <numFmt numFmtId="19" formatCode="dd/mm/yyyy"/>
    </dxf>
    <dxf>
      <numFmt numFmtId="164" formatCode="[$-F800]dddd\,\ mmmm\ dd\,\ 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Activity_OMEGA_AUG23" displayName="Activity_OMEGA_AUG23" ref="A1:S174" totalsRowShown="0">
  <autoFilter ref="A1:S174"/>
  <sortState ref="A2:S174">
    <sortCondition ref="P1:P174"/>
  </sortState>
  <tableColumns count="19">
    <tableColumn id="1" name="Project ID"/>
    <tableColumn id="2" name="Activity ID"/>
    <tableColumn id="3" name="Activity Status"/>
    <tableColumn id="4" name="WBS Code"/>
    <tableColumn id="5" name="Activity Name"/>
    <tableColumn id="6" name="Code [Life Cycle]"/>
    <tableColumn id="7" name="Code [Trade]"/>
    <tableColumn id="8" name="Performance %"/>
    <tableColumn id="9" name="Schedule %"/>
    <tableColumn id="10" name="Budgeted Value"/>
    <tableColumn id="11" name="Earned Value"/>
    <tableColumn id="12" name="Planned Value"/>
    <tableColumn id="13" name="Original Duration"/>
    <tableColumn id="14" name="Planned Start" dataDxfId="3">
      <calculatedColumnFormula>DATE(2025,ROW(A1),RANDBETWEEN(1,28))</calculatedColumnFormula>
    </tableColumn>
    <tableColumn id="15" name="Planned Finish" dataDxfId="2">
      <calculatedColumnFormula>RANDBETWEEN(DATE(2025,5,14),DATE(2026,6,5))</calculatedColumnFormula>
    </tableColumn>
    <tableColumn id="16" name="Actual Start"/>
    <tableColumn id="17" name="Actual Finish"/>
    <tableColumn id="18" name="Start" dataDxfId="1">
      <calculatedColumnFormula>Activity_OMEGA_AUG23[[#This Row],[Actual Start]]</calculatedColumnFormula>
    </tableColumn>
    <tableColumn id="19" name="Finish" dataDxfId="0">
      <calculatedColumnFormula>Q3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74"/>
  <sheetViews>
    <sheetView tabSelected="1" topLeftCell="N69" workbookViewId="0">
      <selection activeCell="S118" sqref="S118"/>
    </sheetView>
  </sheetViews>
  <sheetFormatPr defaultRowHeight="14.4" x14ac:dyDescent="0.3"/>
  <cols>
    <col min="1" max="1" width="15.109375" customWidth="1"/>
    <col min="2" max="2" width="14.21875" customWidth="1"/>
    <col min="3" max="3" width="15.6640625" customWidth="1"/>
    <col min="4" max="4" width="33.77734375" customWidth="1"/>
    <col min="5" max="5" width="38" customWidth="1"/>
    <col min="6" max="6" width="19.44140625" customWidth="1"/>
    <col min="7" max="7" width="17" customWidth="1"/>
    <col min="8" max="8" width="18.6640625" customWidth="1"/>
    <col min="9" max="9" width="15.6640625" customWidth="1"/>
    <col min="10" max="10" width="19.44140625" customWidth="1"/>
    <col min="11" max="11" width="16.109375" customWidth="1"/>
    <col min="12" max="12" width="16" customWidth="1"/>
    <col min="13" max="13" width="18.33203125" customWidth="1"/>
    <col min="14" max="14" width="20.109375" customWidth="1"/>
    <col min="15" max="15" width="25" customWidth="1"/>
    <col min="16" max="16" width="18.77734375" customWidth="1"/>
    <col min="17" max="17" width="20.33203125" customWidth="1"/>
    <col min="18" max="18" width="18.88671875" customWidth="1"/>
    <col min="19" max="19" width="16.3320312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46</v>
      </c>
      <c r="C2" t="s">
        <v>21</v>
      </c>
      <c r="D2" t="s">
        <v>47</v>
      </c>
      <c r="E2" t="s">
        <v>48</v>
      </c>
      <c r="F2" t="s">
        <v>24</v>
      </c>
      <c r="G2" t="s">
        <v>31</v>
      </c>
      <c r="H2" t="s">
        <v>26</v>
      </c>
      <c r="I2" t="s">
        <v>26</v>
      </c>
      <c r="J2" t="s">
        <v>27</v>
      </c>
      <c r="K2" t="s">
        <v>27</v>
      </c>
      <c r="L2" t="s">
        <v>27</v>
      </c>
      <c r="M2" t="s">
        <v>49</v>
      </c>
      <c r="N2" s="2">
        <f ca="1">DATE(2025,ROUNDUP(ROW(A3)*12/118,0),RANDBETWEEN(1,28))</f>
        <v>45658</v>
      </c>
      <c r="O2" s="2">
        <f ca="1">DATE(2027,ROUNDUP(ROW(A3)*12/118,0),RANDBETWEEN(1,28))</f>
        <v>46411</v>
      </c>
      <c r="P2" s="2">
        <f ca="1">DATE(2025,ROUNDUP(ROW(A3)*12/118,0),RANDBETWEEN(1,28))</f>
        <v>45660</v>
      </c>
      <c r="Q2" s="2">
        <f ca="1">DATE(2027,ROUNDUP(ROW(A3)*12/118,0),RANDBETWEEN(1,28))</f>
        <v>46411</v>
      </c>
      <c r="R2" s="2">
        <f ca="1">Activity_OMEGA_AUG23[[#This Row],[Actual Start]]</f>
        <v>45660</v>
      </c>
      <c r="S2" s="2">
        <f t="shared" ref="S2:S33" ca="1" si="0">Q3</f>
        <v>46408</v>
      </c>
    </row>
    <row r="3" spans="1:19" x14ac:dyDescent="0.3">
      <c r="A3" t="s">
        <v>19</v>
      </c>
      <c r="B3" t="s">
        <v>298</v>
      </c>
      <c r="C3" t="s">
        <v>192</v>
      </c>
      <c r="D3" t="s">
        <v>299</v>
      </c>
      <c r="E3" t="s">
        <v>300</v>
      </c>
      <c r="F3" t="s">
        <v>161</v>
      </c>
      <c r="G3" t="s">
        <v>31</v>
      </c>
      <c r="H3" t="s">
        <v>27</v>
      </c>
      <c r="I3" t="s">
        <v>27</v>
      </c>
      <c r="J3" t="s">
        <v>195</v>
      </c>
      <c r="K3" t="s">
        <v>27</v>
      </c>
      <c r="L3" t="s">
        <v>27</v>
      </c>
      <c r="M3" t="s">
        <v>182</v>
      </c>
      <c r="N3" s="2">
        <f ca="1">DATE(2025,ROUNDUP(ROW(A4)*12/118,0),RANDBETWEEN(1,28))</f>
        <v>45662</v>
      </c>
      <c r="O3" s="2">
        <f ca="1">DATE(2027,ROUNDUP(ROW(A4)*12/118,0),RANDBETWEEN(1,28))</f>
        <v>46388</v>
      </c>
      <c r="P3" s="2">
        <f ca="1">DATE(2025,ROUNDUP(ROW(A4)*12/118,0),RANDBETWEEN(1,28))</f>
        <v>45683</v>
      </c>
      <c r="Q3" s="2">
        <f t="shared" ref="Q3:Q66" ca="1" si="1">DATE(2027,ROUNDUP(ROW(A4)*12/118,0),RANDBETWEEN(1,28))</f>
        <v>46408</v>
      </c>
      <c r="R3" s="2">
        <f ca="1">Activity_OMEGA_AUG23[[#This Row],[Actual Start]]</f>
        <v>45683</v>
      </c>
      <c r="S3" s="2">
        <f t="shared" ca="1" si="0"/>
        <v>46402</v>
      </c>
    </row>
    <row r="4" spans="1:19" x14ac:dyDescent="0.3">
      <c r="A4" t="s">
        <v>19</v>
      </c>
      <c r="B4" t="s">
        <v>338</v>
      </c>
      <c r="C4" t="s">
        <v>192</v>
      </c>
      <c r="D4" t="s">
        <v>339</v>
      </c>
      <c r="E4" t="s">
        <v>340</v>
      </c>
      <c r="F4" t="s">
        <v>312</v>
      </c>
      <c r="G4" t="s">
        <v>45</v>
      </c>
      <c r="H4" t="s">
        <v>27</v>
      </c>
      <c r="I4" t="s">
        <v>341</v>
      </c>
      <c r="J4" t="s">
        <v>27</v>
      </c>
      <c r="K4" t="s">
        <v>27</v>
      </c>
      <c r="L4" t="s">
        <v>27</v>
      </c>
      <c r="M4" t="s">
        <v>52</v>
      </c>
      <c r="N4" s="2">
        <f ca="1">DATE(2025,ROUNDUP(ROW(A5)*12/118,0),RANDBETWEEN(1,28))</f>
        <v>45678</v>
      </c>
      <c r="O4" s="2">
        <f ca="1">DATE(2027,ROUNDUP(ROW(A5)*12/118,0),RANDBETWEEN(1,28))</f>
        <v>46400</v>
      </c>
      <c r="P4" s="2">
        <f ca="1">DATE(2025,ROUNDUP(ROW(A5)*12/118,0),RANDBETWEEN(1,28))</f>
        <v>45666</v>
      </c>
      <c r="Q4" s="2">
        <f t="shared" ca="1" si="1"/>
        <v>46402</v>
      </c>
      <c r="R4" s="2">
        <f ca="1">Activity_OMEGA_AUG23[[#This Row],[Actual Start]]</f>
        <v>45666</v>
      </c>
      <c r="S4" s="2">
        <f t="shared" ca="1" si="0"/>
        <v>46391</v>
      </c>
    </row>
    <row r="5" spans="1:19" x14ac:dyDescent="0.3">
      <c r="A5" t="s">
        <v>19</v>
      </c>
      <c r="B5" t="s">
        <v>179</v>
      </c>
      <c r="C5" t="s">
        <v>21</v>
      </c>
      <c r="D5" t="s">
        <v>159</v>
      </c>
      <c r="E5" t="s">
        <v>180</v>
      </c>
      <c r="F5" t="s">
        <v>161</v>
      </c>
      <c r="G5" t="s">
        <v>40</v>
      </c>
      <c r="H5" t="s">
        <v>26</v>
      </c>
      <c r="I5" t="s">
        <v>26</v>
      </c>
      <c r="J5" t="s">
        <v>181</v>
      </c>
      <c r="K5" t="s">
        <v>181</v>
      </c>
      <c r="L5" t="s">
        <v>181</v>
      </c>
      <c r="M5" t="s">
        <v>182</v>
      </c>
      <c r="N5" s="2">
        <f ca="1">DATE(2025,ROUNDUP(ROW(A6)*12/118,0),RANDBETWEEN(1,28))</f>
        <v>45681</v>
      </c>
      <c r="O5" s="2">
        <f ca="1">DATE(2027,ROUNDUP(ROW(A6)*12/118,0),RANDBETWEEN(1,28))</f>
        <v>46404</v>
      </c>
      <c r="P5" s="2">
        <f ca="1">DATE(2025,ROUNDUP(ROW(A6)*12/118,0),RANDBETWEEN(1,28))</f>
        <v>45658</v>
      </c>
      <c r="Q5" s="2">
        <f t="shared" ca="1" si="1"/>
        <v>46391</v>
      </c>
      <c r="R5" s="2">
        <f ca="1">Activity_OMEGA_AUG23[[#This Row],[Actual Start]]</f>
        <v>45658</v>
      </c>
      <c r="S5" s="2">
        <f t="shared" ca="1" si="0"/>
        <v>46400</v>
      </c>
    </row>
    <row r="6" spans="1:19" x14ac:dyDescent="0.3">
      <c r="A6" t="s">
        <v>19</v>
      </c>
      <c r="B6" t="s">
        <v>114</v>
      </c>
      <c r="C6" t="s">
        <v>21</v>
      </c>
      <c r="D6" t="s">
        <v>106</v>
      </c>
      <c r="E6" t="s">
        <v>115</v>
      </c>
      <c r="F6" t="s">
        <v>24</v>
      </c>
      <c r="G6" t="s">
        <v>40</v>
      </c>
      <c r="H6" t="s">
        <v>26</v>
      </c>
      <c r="I6" t="s">
        <v>26</v>
      </c>
      <c r="J6" t="s">
        <v>27</v>
      </c>
      <c r="K6" t="s">
        <v>27</v>
      </c>
      <c r="L6" t="s">
        <v>27</v>
      </c>
      <c r="M6" t="s">
        <v>52</v>
      </c>
      <c r="N6" s="2">
        <f ca="1">DATE(2025,ROUNDUP(ROW(A7)*12/118,0),RANDBETWEEN(1,28))</f>
        <v>45670</v>
      </c>
      <c r="O6" s="2">
        <f ca="1">DATE(2027,ROUNDUP(ROW(A7)*12/118,0),RANDBETWEEN(1,28))</f>
        <v>46396</v>
      </c>
      <c r="P6" s="2">
        <f ca="1">DATE(2025,ROUNDUP(ROW(A7)*12/118,0),RANDBETWEEN(1,28))</f>
        <v>45680</v>
      </c>
      <c r="Q6" s="2">
        <f t="shared" ca="1" si="1"/>
        <v>46400</v>
      </c>
      <c r="R6" s="2">
        <f ca="1">Activity_OMEGA_AUG23[[#This Row],[Actual Start]]</f>
        <v>45680</v>
      </c>
      <c r="S6" s="2">
        <f t="shared" ca="1" si="0"/>
        <v>46412</v>
      </c>
    </row>
    <row r="7" spans="1:19" x14ac:dyDescent="0.3">
      <c r="A7" t="s">
        <v>19</v>
      </c>
      <c r="B7" t="s">
        <v>342</v>
      </c>
      <c r="C7" t="s">
        <v>192</v>
      </c>
      <c r="D7" t="s">
        <v>343</v>
      </c>
      <c r="E7" t="s">
        <v>344</v>
      </c>
      <c r="F7" t="s">
        <v>312</v>
      </c>
      <c r="G7" t="s">
        <v>31</v>
      </c>
      <c r="H7" t="s">
        <v>27</v>
      </c>
      <c r="I7" t="s">
        <v>27</v>
      </c>
      <c r="J7" t="s">
        <v>27</v>
      </c>
      <c r="K7" t="s">
        <v>27</v>
      </c>
      <c r="L7" t="s">
        <v>27</v>
      </c>
      <c r="M7" t="s">
        <v>52</v>
      </c>
      <c r="N7" s="2">
        <f ca="1">DATE(2025,ROUNDUP(ROW(A8)*12/118,0),RANDBETWEEN(1,28))</f>
        <v>45673</v>
      </c>
      <c r="O7" s="2">
        <f ca="1">DATE(2027,ROUNDUP(ROW(A8)*12/118,0),RANDBETWEEN(1,28))</f>
        <v>46394</v>
      </c>
      <c r="P7" s="2">
        <f ca="1">DATE(2025,ROUNDUP(ROW(A8)*12/118,0),RANDBETWEEN(1,28))</f>
        <v>45659</v>
      </c>
      <c r="Q7" s="2">
        <f t="shared" ca="1" si="1"/>
        <v>46412</v>
      </c>
      <c r="R7" s="2">
        <f ca="1">Activity_OMEGA_AUG23[[#This Row],[Actual Start]]</f>
        <v>45659</v>
      </c>
      <c r="S7" s="2">
        <f t="shared" ca="1" si="0"/>
        <v>46408</v>
      </c>
    </row>
    <row r="8" spans="1:19" x14ac:dyDescent="0.3">
      <c r="A8" t="s">
        <v>19</v>
      </c>
      <c r="B8" t="s">
        <v>359</v>
      </c>
      <c r="C8" t="s">
        <v>192</v>
      </c>
      <c r="D8" t="s">
        <v>360</v>
      </c>
      <c r="E8" t="s">
        <v>361</v>
      </c>
      <c r="F8" t="s">
        <v>312</v>
      </c>
      <c r="G8" t="s">
        <v>61</v>
      </c>
      <c r="H8" t="s">
        <v>27</v>
      </c>
      <c r="I8" t="s">
        <v>27</v>
      </c>
      <c r="J8" t="s">
        <v>27</v>
      </c>
      <c r="K8" t="s">
        <v>27</v>
      </c>
      <c r="L8" t="s">
        <v>27</v>
      </c>
      <c r="M8" t="s">
        <v>52</v>
      </c>
      <c r="N8" s="2">
        <f ca="1">DATE(2025,ROUNDUP(ROW(A9)*12/118,0),RANDBETWEEN(1,28))</f>
        <v>45680</v>
      </c>
      <c r="O8" s="2">
        <f ca="1">DATE(2027,ROUNDUP(ROW(A9)*12/118,0),RANDBETWEEN(1,28))</f>
        <v>46409</v>
      </c>
      <c r="P8" s="2">
        <f ca="1">DATE(2025,ROUNDUP(ROW(A9)*12/118,0),RANDBETWEEN(1,28))</f>
        <v>45666</v>
      </c>
      <c r="Q8" s="2">
        <f t="shared" ca="1" si="1"/>
        <v>46408</v>
      </c>
      <c r="R8" s="2">
        <f ca="1">Activity_OMEGA_AUG23[[#This Row],[Actual Start]]</f>
        <v>45666</v>
      </c>
      <c r="S8" s="2">
        <f t="shared" ca="1" si="0"/>
        <v>46441</v>
      </c>
    </row>
    <row r="9" spans="1:19" x14ac:dyDescent="0.3">
      <c r="A9" t="s">
        <v>19</v>
      </c>
      <c r="B9" t="s">
        <v>270</v>
      </c>
      <c r="C9" t="s">
        <v>192</v>
      </c>
      <c r="D9" t="s">
        <v>271</v>
      </c>
      <c r="E9" t="s">
        <v>272</v>
      </c>
      <c r="F9" t="s">
        <v>161</v>
      </c>
      <c r="G9" t="s">
        <v>61</v>
      </c>
      <c r="H9" t="s">
        <v>27</v>
      </c>
      <c r="I9" t="s">
        <v>27</v>
      </c>
      <c r="J9" t="s">
        <v>200</v>
      </c>
      <c r="K9" t="s">
        <v>27</v>
      </c>
      <c r="L9" t="s">
        <v>27</v>
      </c>
      <c r="M9" t="s">
        <v>201</v>
      </c>
      <c r="N9" s="2">
        <f ca="1">DATE(2025,ROUNDUP(ROW(A10)*12/118,0),RANDBETWEEN(1,28))</f>
        <v>45692</v>
      </c>
      <c r="O9" s="2">
        <f ca="1">DATE(2027,ROUNDUP(ROW(A10)*12/118,0),RANDBETWEEN(1,28))</f>
        <v>46437</v>
      </c>
      <c r="P9" s="2">
        <f ca="1">DATE(2025,ROUNDUP(ROW(A10)*12/118,0),RANDBETWEEN(1,28))</f>
        <v>45713</v>
      </c>
      <c r="Q9" s="2">
        <f t="shared" ca="1" si="1"/>
        <v>46441</v>
      </c>
      <c r="R9" s="2">
        <f ca="1">Activity_OMEGA_AUG23[[#This Row],[Actual Start]]</f>
        <v>45713</v>
      </c>
      <c r="S9" s="2">
        <f t="shared" ca="1" si="0"/>
        <v>46446</v>
      </c>
    </row>
    <row r="10" spans="1:19" x14ac:dyDescent="0.3">
      <c r="A10" t="s">
        <v>19</v>
      </c>
      <c r="B10" t="s">
        <v>187</v>
      </c>
      <c r="C10" t="s">
        <v>21</v>
      </c>
      <c r="D10" t="s">
        <v>188</v>
      </c>
      <c r="E10" t="s">
        <v>189</v>
      </c>
      <c r="F10" t="s">
        <v>161</v>
      </c>
      <c r="G10" t="s">
        <v>45</v>
      </c>
      <c r="H10" t="s">
        <v>26</v>
      </c>
      <c r="I10" t="s">
        <v>26</v>
      </c>
      <c r="J10" t="s">
        <v>190</v>
      </c>
      <c r="K10" t="s">
        <v>190</v>
      </c>
      <c r="L10" t="s">
        <v>190</v>
      </c>
      <c r="M10" t="s">
        <v>147</v>
      </c>
      <c r="N10" s="2">
        <f ca="1">DATE(2025,ROUNDUP(ROW(A11)*12/118,0),RANDBETWEEN(1,28))</f>
        <v>45709</v>
      </c>
      <c r="O10" s="2">
        <f ca="1">DATE(2027,ROUNDUP(ROW(A11)*12/118,0),RANDBETWEEN(1,28))</f>
        <v>46446</v>
      </c>
      <c r="P10" s="2">
        <f ca="1">DATE(2025,ROUNDUP(ROW(A11)*12/118,0),RANDBETWEEN(1,28))</f>
        <v>45698</v>
      </c>
      <c r="Q10" s="2">
        <f t="shared" ca="1" si="1"/>
        <v>46446</v>
      </c>
      <c r="R10" s="2">
        <f ca="1">Activity_OMEGA_AUG23[[#This Row],[Actual Start]]</f>
        <v>45698</v>
      </c>
      <c r="S10" s="2">
        <f t="shared" ca="1" si="0"/>
        <v>46431</v>
      </c>
    </row>
    <row r="11" spans="1:19" x14ac:dyDescent="0.3">
      <c r="A11" t="s">
        <v>19</v>
      </c>
      <c r="B11" t="s">
        <v>375</v>
      </c>
      <c r="C11" t="s">
        <v>192</v>
      </c>
      <c r="D11" t="s">
        <v>373</v>
      </c>
      <c r="E11" t="s">
        <v>376</v>
      </c>
      <c r="F11" t="s">
        <v>196</v>
      </c>
      <c r="G11" t="s">
        <v>196</v>
      </c>
      <c r="H11" t="s">
        <v>27</v>
      </c>
      <c r="I11" t="s">
        <v>27</v>
      </c>
      <c r="J11" t="s">
        <v>27</v>
      </c>
      <c r="K11" t="s">
        <v>27</v>
      </c>
      <c r="L11" t="s">
        <v>27</v>
      </c>
      <c r="M11" t="s">
        <v>27</v>
      </c>
      <c r="N11" s="2">
        <f ca="1">DATE(2025,ROUNDUP(ROW(A12)*12/118,0),RANDBETWEEN(1,28))</f>
        <v>45715</v>
      </c>
      <c r="O11" s="2">
        <f ca="1">DATE(2027,ROUNDUP(ROW(A12)*12/118,0),RANDBETWEEN(1,28))</f>
        <v>46431</v>
      </c>
      <c r="P11" s="2">
        <f ca="1">DATE(2025,ROUNDUP(ROW(A12)*12/118,0),RANDBETWEEN(1,28))</f>
        <v>45694</v>
      </c>
      <c r="Q11" s="2">
        <f t="shared" ca="1" si="1"/>
        <v>46431</v>
      </c>
      <c r="R11" s="2">
        <f ca="1">Activity_OMEGA_AUG23[[#This Row],[Actual Start]]</f>
        <v>45694</v>
      </c>
      <c r="S11" s="2">
        <f t="shared" ca="1" si="0"/>
        <v>46429</v>
      </c>
    </row>
    <row r="12" spans="1:19" x14ac:dyDescent="0.3">
      <c r="A12" t="s">
        <v>19</v>
      </c>
      <c r="B12" t="s">
        <v>197</v>
      </c>
      <c r="C12" t="s">
        <v>192</v>
      </c>
      <c r="D12" t="s">
        <v>198</v>
      </c>
      <c r="E12" t="s">
        <v>199</v>
      </c>
      <c r="F12" t="s">
        <v>161</v>
      </c>
      <c r="G12" t="s">
        <v>61</v>
      </c>
      <c r="H12" t="s">
        <v>27</v>
      </c>
      <c r="I12" t="s">
        <v>26</v>
      </c>
      <c r="J12" t="s">
        <v>200</v>
      </c>
      <c r="K12" t="s">
        <v>27</v>
      </c>
      <c r="L12" t="s">
        <v>200</v>
      </c>
      <c r="M12" t="s">
        <v>201</v>
      </c>
      <c r="N12" s="2">
        <f ca="1">DATE(2025,ROUNDUP(ROW(A13)*12/118,0),RANDBETWEEN(1,28))</f>
        <v>45693</v>
      </c>
      <c r="O12" s="2">
        <f ca="1">DATE(2027,ROUNDUP(ROW(A13)*12/118,0),RANDBETWEEN(1,28))</f>
        <v>46420</v>
      </c>
      <c r="P12" s="2">
        <f ca="1">DATE(2025,ROUNDUP(ROW(A13)*12/118,0),RANDBETWEEN(1,28))</f>
        <v>45692</v>
      </c>
      <c r="Q12" s="2">
        <f t="shared" ca="1" si="1"/>
        <v>46429</v>
      </c>
      <c r="R12" s="2">
        <f ca="1">Activity_OMEGA_AUG23[[#This Row],[Actual Start]]</f>
        <v>45692</v>
      </c>
      <c r="S12" s="2">
        <f t="shared" ca="1" si="0"/>
        <v>46445</v>
      </c>
    </row>
    <row r="13" spans="1:19" x14ac:dyDescent="0.3">
      <c r="A13" t="s">
        <v>19</v>
      </c>
      <c r="B13" t="s">
        <v>333</v>
      </c>
      <c r="C13" t="s">
        <v>192</v>
      </c>
      <c r="D13" t="s">
        <v>331</v>
      </c>
      <c r="E13" t="s">
        <v>334</v>
      </c>
      <c r="F13" t="s">
        <v>312</v>
      </c>
      <c r="G13" t="s">
        <v>64</v>
      </c>
      <c r="H13" t="s">
        <v>27</v>
      </c>
      <c r="I13" t="s">
        <v>27</v>
      </c>
      <c r="J13" t="s">
        <v>27</v>
      </c>
      <c r="K13" t="s">
        <v>27</v>
      </c>
      <c r="L13" t="s">
        <v>27</v>
      </c>
      <c r="M13" t="s">
        <v>52</v>
      </c>
      <c r="N13" s="2">
        <f ca="1">DATE(2025,ROUNDUP(ROW(A14)*12/118,0),RANDBETWEEN(1,28))</f>
        <v>45690</v>
      </c>
      <c r="O13" s="2">
        <f ca="1">DATE(2027,ROUNDUP(ROW(A14)*12/118,0),RANDBETWEEN(1,28))</f>
        <v>46436</v>
      </c>
      <c r="P13" s="2">
        <f ca="1">DATE(2025,ROUNDUP(ROW(A14)*12/118,0),RANDBETWEEN(1,28))</f>
        <v>45709</v>
      </c>
      <c r="Q13" s="2">
        <f t="shared" ca="1" si="1"/>
        <v>46445</v>
      </c>
      <c r="R13" s="2">
        <f ca="1">Activity_OMEGA_AUG23[[#This Row],[Actual Start]]</f>
        <v>45709</v>
      </c>
      <c r="S13" s="2">
        <f t="shared" ca="1" si="0"/>
        <v>46432</v>
      </c>
    </row>
    <row r="14" spans="1:19" x14ac:dyDescent="0.3">
      <c r="A14" t="s">
        <v>19</v>
      </c>
      <c r="B14" t="s">
        <v>223</v>
      </c>
      <c r="C14" t="s">
        <v>21</v>
      </c>
      <c r="D14" t="s">
        <v>213</v>
      </c>
      <c r="E14" t="s">
        <v>224</v>
      </c>
      <c r="F14" t="s">
        <v>161</v>
      </c>
      <c r="G14" t="s">
        <v>40</v>
      </c>
      <c r="H14" t="s">
        <v>26</v>
      </c>
      <c r="I14" t="s">
        <v>26</v>
      </c>
      <c r="J14" t="s">
        <v>181</v>
      </c>
      <c r="K14" t="s">
        <v>181</v>
      </c>
      <c r="L14" t="s">
        <v>181</v>
      </c>
      <c r="M14" t="s">
        <v>182</v>
      </c>
      <c r="N14" s="2">
        <f ca="1">DATE(2025,ROUNDUP(ROW(A15)*12/118,0),RANDBETWEEN(1,28))</f>
        <v>45701</v>
      </c>
      <c r="O14" s="2">
        <f ca="1">DATE(2027,ROUNDUP(ROW(A15)*12/118,0),RANDBETWEEN(1,28))</f>
        <v>46437</v>
      </c>
      <c r="P14" s="2">
        <f ca="1">DATE(2025,ROUNDUP(ROW(A15)*12/118,0),RANDBETWEEN(1,28))</f>
        <v>45694</v>
      </c>
      <c r="Q14" s="2">
        <f t="shared" ca="1" si="1"/>
        <v>46432</v>
      </c>
      <c r="R14" s="2">
        <f ca="1">Activity_OMEGA_AUG23[[#This Row],[Actual Start]]</f>
        <v>45694</v>
      </c>
      <c r="S14" s="2">
        <f t="shared" ca="1" si="0"/>
        <v>46430</v>
      </c>
    </row>
    <row r="15" spans="1:19" x14ac:dyDescent="0.3">
      <c r="A15" t="s">
        <v>19</v>
      </c>
      <c r="B15" t="s">
        <v>291</v>
      </c>
      <c r="C15" t="s">
        <v>192</v>
      </c>
      <c r="D15" t="s">
        <v>279</v>
      </c>
      <c r="E15" t="s">
        <v>292</v>
      </c>
      <c r="F15" t="s">
        <v>161</v>
      </c>
      <c r="G15" t="s">
        <v>40</v>
      </c>
      <c r="H15" t="s">
        <v>27</v>
      </c>
      <c r="I15" t="s">
        <v>27</v>
      </c>
      <c r="J15" t="s">
        <v>185</v>
      </c>
      <c r="K15" t="s">
        <v>27</v>
      </c>
      <c r="L15" t="s">
        <v>27</v>
      </c>
      <c r="M15" t="s">
        <v>186</v>
      </c>
      <c r="N15" s="2">
        <f ca="1">DATE(2025,ROUNDUP(ROW(A16)*12/118,0),RANDBETWEEN(1,28))</f>
        <v>45715</v>
      </c>
      <c r="O15" s="2">
        <f ca="1">DATE(2027,ROUNDUP(ROW(A16)*12/118,0),RANDBETWEEN(1,28))</f>
        <v>46438</v>
      </c>
      <c r="P15" s="2">
        <f ca="1">DATE(2025,ROUNDUP(ROW(A16)*12/118,0),RANDBETWEEN(1,28))</f>
        <v>45709</v>
      </c>
      <c r="Q15" s="2">
        <f t="shared" ca="1" si="1"/>
        <v>46430</v>
      </c>
      <c r="R15" s="2">
        <f ca="1">Activity_OMEGA_AUG23[[#This Row],[Actual Start]]</f>
        <v>45709</v>
      </c>
      <c r="S15" s="2">
        <f t="shared" ca="1" si="0"/>
        <v>46434</v>
      </c>
    </row>
    <row r="16" spans="1:19" x14ac:dyDescent="0.3">
      <c r="A16" t="s">
        <v>19</v>
      </c>
      <c r="B16" t="s">
        <v>202</v>
      </c>
      <c r="C16" t="s">
        <v>192</v>
      </c>
      <c r="D16" t="s">
        <v>198</v>
      </c>
      <c r="E16" t="s">
        <v>203</v>
      </c>
      <c r="F16" t="s">
        <v>161</v>
      </c>
      <c r="G16" t="s">
        <v>64</v>
      </c>
      <c r="H16" t="s">
        <v>27</v>
      </c>
      <c r="I16" t="s">
        <v>26</v>
      </c>
      <c r="J16" t="s">
        <v>204</v>
      </c>
      <c r="K16" t="s">
        <v>27</v>
      </c>
      <c r="L16" t="s">
        <v>204</v>
      </c>
      <c r="M16" t="s">
        <v>36</v>
      </c>
      <c r="N16" s="2">
        <f ca="1">DATE(2025,ROUNDUP(ROW(A17)*12/118,0),RANDBETWEEN(1,28))</f>
        <v>45699</v>
      </c>
      <c r="O16" s="2">
        <f ca="1">DATE(2027,ROUNDUP(ROW(A17)*12/118,0),RANDBETWEEN(1,28))</f>
        <v>46437</v>
      </c>
      <c r="P16" s="2">
        <f ca="1">DATE(2025,ROUNDUP(ROW(A17)*12/118,0),RANDBETWEEN(1,28))</f>
        <v>45694</v>
      </c>
      <c r="Q16" s="2">
        <f t="shared" ca="1" si="1"/>
        <v>46434</v>
      </c>
      <c r="R16" s="2">
        <f ca="1">Activity_OMEGA_AUG23[[#This Row],[Actual Start]]</f>
        <v>45694</v>
      </c>
      <c r="S16" s="2">
        <f t="shared" ca="1" si="0"/>
        <v>46440</v>
      </c>
    </row>
    <row r="17" spans="1:19" x14ac:dyDescent="0.3">
      <c r="A17" t="s">
        <v>19</v>
      </c>
      <c r="B17" t="s">
        <v>20</v>
      </c>
      <c r="C17" t="s">
        <v>21</v>
      </c>
      <c r="D17" t="s">
        <v>22</v>
      </c>
      <c r="E17" t="s">
        <v>23</v>
      </c>
      <c r="F17" t="s">
        <v>24</v>
      </c>
      <c r="G17" t="s">
        <v>25</v>
      </c>
      <c r="H17" t="s">
        <v>26</v>
      </c>
      <c r="I17" t="s">
        <v>26</v>
      </c>
      <c r="J17" t="s">
        <v>27</v>
      </c>
      <c r="K17" t="s">
        <v>27</v>
      </c>
      <c r="L17" t="s">
        <v>27</v>
      </c>
      <c r="M17" t="s">
        <v>28</v>
      </c>
      <c r="N17" s="2">
        <f ca="1">DATE(2025,ROUNDUP(ROW(A18)*12/118,0),RANDBETWEEN(1,28))</f>
        <v>45693</v>
      </c>
      <c r="O17" s="2">
        <f ca="1">DATE(2027,ROUNDUP(ROW(A18)*12/118,0),RANDBETWEEN(1,28))</f>
        <v>46420</v>
      </c>
      <c r="P17" s="2">
        <f ca="1">DATE(2025,ROUNDUP(ROW(A18)*12/118,0),RANDBETWEEN(1,28))</f>
        <v>45706</v>
      </c>
      <c r="Q17" s="2">
        <f t="shared" ca="1" si="1"/>
        <v>46440</v>
      </c>
      <c r="R17" s="2">
        <f ca="1">Activity_OMEGA_AUG23[[#This Row],[Actual Start]]</f>
        <v>45706</v>
      </c>
      <c r="S17" s="2">
        <f t="shared" ca="1" si="0"/>
        <v>46430</v>
      </c>
    </row>
    <row r="18" spans="1:19" x14ac:dyDescent="0.3">
      <c r="A18" t="s">
        <v>19</v>
      </c>
      <c r="B18" t="s">
        <v>105</v>
      </c>
      <c r="C18" t="s">
        <v>21</v>
      </c>
      <c r="D18" t="s">
        <v>106</v>
      </c>
      <c r="E18" t="s">
        <v>107</v>
      </c>
      <c r="F18" t="s">
        <v>24</v>
      </c>
      <c r="G18" t="s">
        <v>40</v>
      </c>
      <c r="H18" t="s">
        <v>26</v>
      </c>
      <c r="I18" t="s">
        <v>26</v>
      </c>
      <c r="J18" t="s">
        <v>27</v>
      </c>
      <c r="K18" t="s">
        <v>27</v>
      </c>
      <c r="L18" t="s">
        <v>27</v>
      </c>
      <c r="M18" t="s">
        <v>41</v>
      </c>
      <c r="N18" s="2">
        <f ca="1">DATE(2025,ROUNDUP(ROW(A19)*12/118,0),RANDBETWEEN(1,28))</f>
        <v>45708</v>
      </c>
      <c r="O18" s="2">
        <f ca="1">DATE(2027,ROUNDUP(ROW(A19)*12/118,0),RANDBETWEEN(1,28))</f>
        <v>46439</v>
      </c>
      <c r="P18" s="2">
        <f ca="1">DATE(2025,ROUNDUP(ROW(A19)*12/118,0),RANDBETWEEN(1,28))</f>
        <v>45695</v>
      </c>
      <c r="Q18" s="2">
        <f t="shared" ca="1" si="1"/>
        <v>46430</v>
      </c>
      <c r="R18" s="2">
        <f ca="1">Activity_OMEGA_AUG23[[#This Row],[Actual Start]]</f>
        <v>45695</v>
      </c>
      <c r="S18" s="2">
        <f t="shared" ca="1" si="0"/>
        <v>46463</v>
      </c>
    </row>
    <row r="19" spans="1:19" x14ac:dyDescent="0.3">
      <c r="A19" t="s">
        <v>19</v>
      </c>
      <c r="B19" t="s">
        <v>108</v>
      </c>
      <c r="C19" t="s">
        <v>21</v>
      </c>
      <c r="D19" t="s">
        <v>109</v>
      </c>
      <c r="E19" t="s">
        <v>110</v>
      </c>
      <c r="F19" t="s">
        <v>24</v>
      </c>
      <c r="G19" t="s">
        <v>45</v>
      </c>
      <c r="H19" t="s">
        <v>26</v>
      </c>
      <c r="I19" t="s">
        <v>26</v>
      </c>
      <c r="J19" t="s">
        <v>27</v>
      </c>
      <c r="K19" t="s">
        <v>27</v>
      </c>
      <c r="L19" t="s">
        <v>27</v>
      </c>
      <c r="M19" t="s">
        <v>32</v>
      </c>
      <c r="N19" s="2">
        <f ca="1">DATE(2025,ROUNDUP(ROW(A20)*12/118,0),RANDBETWEEN(1,28))</f>
        <v>45740</v>
      </c>
      <c r="O19" s="2">
        <f ca="1">DATE(2027,ROUNDUP(ROW(A20)*12/118,0),RANDBETWEEN(1,28))</f>
        <v>46467</v>
      </c>
      <c r="P19" s="2">
        <f ca="1">DATE(2025,ROUNDUP(ROW(A20)*12/118,0),RANDBETWEEN(1,28))</f>
        <v>45733</v>
      </c>
      <c r="Q19" s="2">
        <f t="shared" ca="1" si="1"/>
        <v>46463</v>
      </c>
      <c r="R19" s="2">
        <f ca="1">Activity_OMEGA_AUG23[[#This Row],[Actual Start]]</f>
        <v>45733</v>
      </c>
      <c r="S19" s="2">
        <f t="shared" ca="1" si="0"/>
        <v>46473</v>
      </c>
    </row>
    <row r="20" spans="1:19" x14ac:dyDescent="0.3">
      <c r="A20" t="s">
        <v>19</v>
      </c>
      <c r="B20" t="s">
        <v>324</v>
      </c>
      <c r="C20" t="s">
        <v>192</v>
      </c>
      <c r="D20" t="s">
        <v>325</v>
      </c>
      <c r="E20" t="s">
        <v>326</v>
      </c>
      <c r="F20" t="s">
        <v>312</v>
      </c>
      <c r="G20" t="s">
        <v>45</v>
      </c>
      <c r="H20" t="s">
        <v>27</v>
      </c>
      <c r="I20" t="s">
        <v>26</v>
      </c>
      <c r="J20" t="s">
        <v>27</v>
      </c>
      <c r="K20" t="s">
        <v>27</v>
      </c>
      <c r="L20" t="s">
        <v>27</v>
      </c>
      <c r="M20" t="s">
        <v>52</v>
      </c>
      <c r="N20" s="2">
        <f ca="1">DATE(2025,ROUNDUP(ROW(A21)*12/118,0),RANDBETWEEN(1,28))</f>
        <v>45730</v>
      </c>
      <c r="O20" s="2">
        <f ca="1">DATE(2027,ROUNDUP(ROW(A21)*12/118,0),RANDBETWEEN(1,28))</f>
        <v>46461</v>
      </c>
      <c r="P20" s="2">
        <f ca="1">DATE(2025,ROUNDUP(ROW(A21)*12/118,0),RANDBETWEEN(1,28))</f>
        <v>45736</v>
      </c>
      <c r="Q20" s="2">
        <f t="shared" ca="1" si="1"/>
        <v>46473</v>
      </c>
      <c r="R20" s="2">
        <f ca="1">Activity_OMEGA_AUG23[[#This Row],[Actual Start]]</f>
        <v>45736</v>
      </c>
      <c r="S20" s="2">
        <f t="shared" ca="1" si="0"/>
        <v>46461</v>
      </c>
    </row>
    <row r="21" spans="1:19" x14ac:dyDescent="0.3">
      <c r="A21" t="s">
        <v>19</v>
      </c>
      <c r="B21" t="s">
        <v>33</v>
      </c>
      <c r="C21" t="s">
        <v>21</v>
      </c>
      <c r="D21" t="s">
        <v>22</v>
      </c>
      <c r="E21" t="s">
        <v>34</v>
      </c>
      <c r="F21" t="s">
        <v>24</v>
      </c>
      <c r="G21" t="s">
        <v>35</v>
      </c>
      <c r="H21" t="s">
        <v>26</v>
      </c>
      <c r="I21" t="s">
        <v>26</v>
      </c>
      <c r="J21" t="s">
        <v>27</v>
      </c>
      <c r="K21" t="s">
        <v>27</v>
      </c>
      <c r="L21" t="s">
        <v>27</v>
      </c>
      <c r="M21" t="s">
        <v>36</v>
      </c>
      <c r="N21" s="2">
        <f ca="1">DATE(2025,ROUNDUP(ROW(A22)*12/118,0),RANDBETWEEN(1,28))</f>
        <v>45724</v>
      </c>
      <c r="O21" s="2">
        <f ca="1">DATE(2027,ROUNDUP(ROW(A22)*12/118,0),RANDBETWEEN(1,28))</f>
        <v>46450</v>
      </c>
      <c r="P21" s="2">
        <f ca="1">DATE(2025,ROUNDUP(ROW(A22)*12/118,0),RANDBETWEEN(1,28))</f>
        <v>45725</v>
      </c>
      <c r="Q21" s="2">
        <f t="shared" ca="1" si="1"/>
        <v>46461</v>
      </c>
      <c r="R21" s="2">
        <f ca="1">Activity_OMEGA_AUG23[[#This Row],[Actual Start]]</f>
        <v>45725</v>
      </c>
      <c r="S21" s="2">
        <f t="shared" ca="1" si="0"/>
        <v>46462</v>
      </c>
    </row>
    <row r="22" spans="1:19" x14ac:dyDescent="0.3">
      <c r="A22" t="s">
        <v>19</v>
      </c>
      <c r="B22" t="s">
        <v>74</v>
      </c>
      <c r="C22" t="s">
        <v>21</v>
      </c>
      <c r="D22" t="s">
        <v>66</v>
      </c>
      <c r="E22" t="s">
        <v>75</v>
      </c>
      <c r="F22" t="s">
        <v>24</v>
      </c>
      <c r="G22" t="s">
        <v>40</v>
      </c>
      <c r="H22" t="s">
        <v>26</v>
      </c>
      <c r="I22" t="s">
        <v>26</v>
      </c>
      <c r="J22" t="s">
        <v>27</v>
      </c>
      <c r="K22" t="s">
        <v>27</v>
      </c>
      <c r="L22" t="s">
        <v>27</v>
      </c>
      <c r="M22" t="s">
        <v>52</v>
      </c>
      <c r="N22" s="2">
        <f ca="1">DATE(2025,ROUNDUP(ROW(A23)*12/118,0),RANDBETWEEN(1,28))</f>
        <v>45738</v>
      </c>
      <c r="O22" s="2">
        <f ca="1">DATE(2027,ROUNDUP(ROW(A23)*12/118,0),RANDBETWEEN(1,28))</f>
        <v>46462</v>
      </c>
      <c r="P22" s="2">
        <f ca="1">DATE(2025,ROUNDUP(ROW(A23)*12/118,0),RANDBETWEEN(1,28))</f>
        <v>45737</v>
      </c>
      <c r="Q22" s="2">
        <f t="shared" ca="1" si="1"/>
        <v>46462</v>
      </c>
      <c r="R22" s="2">
        <f ca="1">Activity_OMEGA_AUG23[[#This Row],[Actual Start]]</f>
        <v>45737</v>
      </c>
      <c r="S22" s="2">
        <f t="shared" ca="1" si="0"/>
        <v>46464</v>
      </c>
    </row>
    <row r="23" spans="1:19" x14ac:dyDescent="0.3">
      <c r="A23" t="s">
        <v>19</v>
      </c>
      <c r="B23" t="s">
        <v>88</v>
      </c>
      <c r="C23" t="s">
        <v>21</v>
      </c>
      <c r="D23" t="s">
        <v>89</v>
      </c>
      <c r="E23" t="s">
        <v>90</v>
      </c>
      <c r="F23" t="s">
        <v>24</v>
      </c>
      <c r="G23" t="s">
        <v>45</v>
      </c>
      <c r="H23" t="s">
        <v>26</v>
      </c>
      <c r="I23" t="s">
        <v>26</v>
      </c>
      <c r="J23" t="s">
        <v>27</v>
      </c>
      <c r="K23" t="s">
        <v>27</v>
      </c>
      <c r="L23" t="s">
        <v>27</v>
      </c>
      <c r="M23" t="s">
        <v>32</v>
      </c>
      <c r="N23" s="2">
        <f ca="1">DATE(2025,ROUNDUP(ROW(A24)*12/118,0),RANDBETWEEN(1,28))</f>
        <v>45735</v>
      </c>
      <c r="O23" s="2">
        <f ca="1">DATE(2027,ROUNDUP(ROW(A24)*12/118,0),RANDBETWEEN(1,28))</f>
        <v>46471</v>
      </c>
      <c r="P23" s="2">
        <f ca="1">DATE(2025,ROUNDUP(ROW(A24)*12/118,0),RANDBETWEEN(1,28))</f>
        <v>45724</v>
      </c>
      <c r="Q23" s="2">
        <f t="shared" ca="1" si="1"/>
        <v>46464</v>
      </c>
      <c r="R23" s="2">
        <f ca="1">Activity_OMEGA_AUG23[[#This Row],[Actual Start]]</f>
        <v>45724</v>
      </c>
      <c r="S23" s="2">
        <f t="shared" ca="1" si="0"/>
        <v>46460</v>
      </c>
    </row>
    <row r="24" spans="1:19" x14ac:dyDescent="0.3">
      <c r="A24" t="s">
        <v>19</v>
      </c>
      <c r="B24" t="s">
        <v>287</v>
      </c>
      <c r="C24" t="s">
        <v>21</v>
      </c>
      <c r="D24" t="s">
        <v>279</v>
      </c>
      <c r="E24" t="s">
        <v>288</v>
      </c>
      <c r="F24" t="s">
        <v>161</v>
      </c>
      <c r="G24" t="s">
        <v>40</v>
      </c>
      <c r="H24" t="s">
        <v>26</v>
      </c>
      <c r="I24" t="s">
        <v>26</v>
      </c>
      <c r="J24" t="s">
        <v>177</v>
      </c>
      <c r="K24" t="s">
        <v>177</v>
      </c>
      <c r="L24" t="s">
        <v>177</v>
      </c>
      <c r="M24" t="s">
        <v>178</v>
      </c>
      <c r="N24" s="2">
        <f ca="1">DATE(2025,ROUNDUP(ROW(A25)*12/118,0),RANDBETWEEN(1,28))</f>
        <v>45725</v>
      </c>
      <c r="O24" s="2">
        <f ca="1">DATE(2027,ROUNDUP(ROW(A25)*12/118,0),RANDBETWEEN(1,28))</f>
        <v>46461</v>
      </c>
      <c r="P24" s="2">
        <f ca="1">DATE(2025,ROUNDUP(ROW(A25)*12/118,0),RANDBETWEEN(1,28))</f>
        <v>45733</v>
      </c>
      <c r="Q24" s="2">
        <f t="shared" ca="1" si="1"/>
        <v>46460</v>
      </c>
      <c r="R24" s="2">
        <f ca="1">Activity_OMEGA_AUG23[[#This Row],[Actual Start]]</f>
        <v>45733</v>
      </c>
      <c r="S24" s="2">
        <f t="shared" ca="1" si="0"/>
        <v>46454</v>
      </c>
    </row>
    <row r="25" spans="1:19" x14ac:dyDescent="0.3">
      <c r="A25" t="s">
        <v>19</v>
      </c>
      <c r="B25" t="s">
        <v>289</v>
      </c>
      <c r="C25" t="s">
        <v>192</v>
      </c>
      <c r="D25" t="s">
        <v>279</v>
      </c>
      <c r="E25" t="s">
        <v>290</v>
      </c>
      <c r="F25" t="s">
        <v>161</v>
      </c>
      <c r="G25" t="s">
        <v>40</v>
      </c>
      <c r="H25" t="s">
        <v>27</v>
      </c>
      <c r="I25" t="s">
        <v>27</v>
      </c>
      <c r="J25" t="s">
        <v>181</v>
      </c>
      <c r="K25" t="s">
        <v>27</v>
      </c>
      <c r="L25" t="s">
        <v>27</v>
      </c>
      <c r="M25" t="s">
        <v>182</v>
      </c>
      <c r="N25" s="2">
        <f ca="1">DATE(2025,ROUNDUP(ROW(A26)*12/118,0),RANDBETWEEN(1,28))</f>
        <v>45724</v>
      </c>
      <c r="O25" s="2">
        <f ca="1">DATE(2027,ROUNDUP(ROW(A26)*12/118,0),RANDBETWEEN(1,28))</f>
        <v>46449</v>
      </c>
      <c r="P25" s="2">
        <f ca="1">DATE(2025,ROUNDUP(ROW(A26)*12/118,0),RANDBETWEEN(1,28))</f>
        <v>45722</v>
      </c>
      <c r="Q25" s="2">
        <f t="shared" ca="1" si="1"/>
        <v>46454</v>
      </c>
      <c r="R25" s="2">
        <f ca="1">Activity_OMEGA_AUG23[[#This Row],[Actual Start]]</f>
        <v>45722</v>
      </c>
      <c r="S25" s="2">
        <f t="shared" ca="1" si="0"/>
        <v>46468</v>
      </c>
    </row>
    <row r="26" spans="1:19" x14ac:dyDescent="0.3">
      <c r="A26" t="s">
        <v>19</v>
      </c>
      <c r="B26" t="s">
        <v>335</v>
      </c>
      <c r="C26" t="s">
        <v>192</v>
      </c>
      <c r="D26" t="s">
        <v>336</v>
      </c>
      <c r="E26" t="s">
        <v>337</v>
      </c>
      <c r="F26" t="s">
        <v>312</v>
      </c>
      <c r="G26" t="s">
        <v>35</v>
      </c>
      <c r="H26" t="s">
        <v>27</v>
      </c>
      <c r="I26" t="s">
        <v>27</v>
      </c>
      <c r="J26" t="s">
        <v>27</v>
      </c>
      <c r="K26" t="s">
        <v>27</v>
      </c>
      <c r="L26" t="s">
        <v>27</v>
      </c>
      <c r="M26" t="s">
        <v>52</v>
      </c>
      <c r="N26" s="2">
        <f ca="1">DATE(2025,ROUNDUP(ROW(A27)*12/118,0),RANDBETWEEN(1,28))</f>
        <v>45729</v>
      </c>
      <c r="O26" s="2">
        <f ca="1">DATE(2027,ROUNDUP(ROW(A27)*12/118,0),RANDBETWEEN(1,28))</f>
        <v>46457</v>
      </c>
      <c r="P26" s="2">
        <f ca="1">DATE(2025,ROUNDUP(ROW(A27)*12/118,0),RANDBETWEEN(1,28))</f>
        <v>45725</v>
      </c>
      <c r="Q26" s="2">
        <f t="shared" ca="1" si="1"/>
        <v>46468</v>
      </c>
      <c r="R26" s="2">
        <f ca="1">Activity_OMEGA_AUG23[[#This Row],[Actual Start]]</f>
        <v>45725</v>
      </c>
      <c r="S26" s="2">
        <f t="shared" ca="1" si="0"/>
        <v>46469</v>
      </c>
    </row>
    <row r="27" spans="1:19" x14ac:dyDescent="0.3">
      <c r="A27" t="s">
        <v>19</v>
      </c>
      <c r="B27" t="s">
        <v>215</v>
      </c>
      <c r="C27" t="s">
        <v>21</v>
      </c>
      <c r="D27" t="s">
        <v>213</v>
      </c>
      <c r="E27" t="s">
        <v>216</v>
      </c>
      <c r="F27" t="s">
        <v>161</v>
      </c>
      <c r="G27" t="s">
        <v>40</v>
      </c>
      <c r="H27" t="s">
        <v>26</v>
      </c>
      <c r="I27" t="s">
        <v>26</v>
      </c>
      <c r="J27" t="s">
        <v>166</v>
      </c>
      <c r="K27" t="s">
        <v>166</v>
      </c>
      <c r="L27" t="s">
        <v>166</v>
      </c>
      <c r="M27" t="s">
        <v>36</v>
      </c>
      <c r="N27" s="2">
        <f ca="1">DATE(2025,ROUNDUP(ROW(A28)*12/118,0),RANDBETWEEN(1,28))</f>
        <v>45718</v>
      </c>
      <c r="O27" s="2">
        <f ca="1">DATE(2027,ROUNDUP(ROW(A28)*12/118,0),RANDBETWEEN(1,28))</f>
        <v>46459</v>
      </c>
      <c r="P27" s="2">
        <f ca="1">DATE(2025,ROUNDUP(ROW(A28)*12/118,0),RANDBETWEEN(1,28))</f>
        <v>45723</v>
      </c>
      <c r="Q27" s="2">
        <f t="shared" ca="1" si="1"/>
        <v>46469</v>
      </c>
      <c r="R27" s="2">
        <f ca="1">Activity_OMEGA_AUG23[[#This Row],[Actual Start]]</f>
        <v>45723</v>
      </c>
      <c r="S27" s="2">
        <f t="shared" ca="1" si="0"/>
        <v>46455</v>
      </c>
    </row>
    <row r="28" spans="1:19" x14ac:dyDescent="0.3">
      <c r="A28" t="s">
        <v>19</v>
      </c>
      <c r="B28" t="s">
        <v>345</v>
      </c>
      <c r="C28" t="s">
        <v>192</v>
      </c>
      <c r="D28" t="s">
        <v>346</v>
      </c>
      <c r="E28" t="s">
        <v>347</v>
      </c>
      <c r="F28" t="s">
        <v>312</v>
      </c>
      <c r="G28" t="s">
        <v>61</v>
      </c>
      <c r="H28" t="s">
        <v>27</v>
      </c>
      <c r="I28" t="s">
        <v>27</v>
      </c>
      <c r="J28" t="s">
        <v>27</v>
      </c>
      <c r="K28" t="s">
        <v>27</v>
      </c>
      <c r="L28" t="s">
        <v>27</v>
      </c>
      <c r="M28" t="s">
        <v>52</v>
      </c>
      <c r="N28" s="2">
        <f ca="1">DATE(2025,ROUNDUP(ROW(A29)*12/118,0),RANDBETWEEN(1,28))</f>
        <v>45722</v>
      </c>
      <c r="O28" s="2">
        <f ca="1">DATE(2027,ROUNDUP(ROW(A29)*12/118,0),RANDBETWEEN(1,28))</f>
        <v>46462</v>
      </c>
      <c r="P28" s="2">
        <f ca="1">DATE(2025,ROUNDUP(ROW(A29)*12/118,0),RANDBETWEEN(1,28))</f>
        <v>45736</v>
      </c>
      <c r="Q28" s="2">
        <f t="shared" ca="1" si="1"/>
        <v>46455</v>
      </c>
      <c r="R28" s="2">
        <f ca="1">Activity_OMEGA_AUG23[[#This Row],[Actual Start]]</f>
        <v>45736</v>
      </c>
      <c r="S28" s="2">
        <f t="shared" ca="1" si="0"/>
        <v>46483</v>
      </c>
    </row>
    <row r="29" spans="1:19" x14ac:dyDescent="0.3">
      <c r="A29" t="s">
        <v>19</v>
      </c>
      <c r="B29" t="s">
        <v>250</v>
      </c>
      <c r="C29" t="s">
        <v>21</v>
      </c>
      <c r="D29" t="s">
        <v>246</v>
      </c>
      <c r="E29" t="s">
        <v>251</v>
      </c>
      <c r="F29" t="s">
        <v>161</v>
      </c>
      <c r="G29" t="s">
        <v>40</v>
      </c>
      <c r="H29" t="s">
        <v>26</v>
      </c>
      <c r="I29" t="s">
        <v>26</v>
      </c>
      <c r="J29" t="s">
        <v>169</v>
      </c>
      <c r="K29" t="s">
        <v>169</v>
      </c>
      <c r="L29" t="s">
        <v>169</v>
      </c>
      <c r="M29" t="s">
        <v>170</v>
      </c>
      <c r="N29" s="2">
        <f ca="1">DATE(2025,ROUNDUP(ROW(A30)*12/118,0),RANDBETWEEN(1,28))</f>
        <v>45758</v>
      </c>
      <c r="O29" s="2">
        <f ca="1">DATE(2027,ROUNDUP(ROW(A30)*12/118,0),RANDBETWEEN(1,28))</f>
        <v>46494</v>
      </c>
      <c r="P29" s="2">
        <f ca="1">DATE(2025,ROUNDUP(ROW(A30)*12/118,0),RANDBETWEEN(1,28))</f>
        <v>45770</v>
      </c>
      <c r="Q29" s="2">
        <f t="shared" ca="1" si="1"/>
        <v>46483</v>
      </c>
      <c r="R29" s="2">
        <f ca="1">Activity_OMEGA_AUG23[[#This Row],[Actual Start]]</f>
        <v>45770</v>
      </c>
      <c r="S29" s="2">
        <f t="shared" ca="1" si="0"/>
        <v>46497</v>
      </c>
    </row>
    <row r="30" spans="1:19" x14ac:dyDescent="0.3">
      <c r="A30" t="s">
        <v>19</v>
      </c>
      <c r="B30" t="s">
        <v>232</v>
      </c>
      <c r="C30" t="s">
        <v>192</v>
      </c>
      <c r="D30" t="s">
        <v>233</v>
      </c>
      <c r="E30" t="s">
        <v>234</v>
      </c>
      <c r="F30" t="s">
        <v>161</v>
      </c>
      <c r="G30" t="s">
        <v>31</v>
      </c>
      <c r="H30" t="s">
        <v>27</v>
      </c>
      <c r="I30" t="s">
        <v>27</v>
      </c>
      <c r="J30" t="s">
        <v>195</v>
      </c>
      <c r="K30" t="s">
        <v>27</v>
      </c>
      <c r="L30" t="s">
        <v>27</v>
      </c>
      <c r="M30" t="s">
        <v>182</v>
      </c>
      <c r="N30" s="2">
        <f ca="1">DATE(2025,ROUNDUP(ROW(A31)*12/118,0),RANDBETWEEN(1,28))</f>
        <v>45755</v>
      </c>
      <c r="O30" s="2">
        <f ca="1">DATE(2027,ROUNDUP(ROW(A31)*12/118,0),RANDBETWEEN(1,28))</f>
        <v>46482</v>
      </c>
      <c r="P30" s="2">
        <f ca="1">DATE(2025,ROUNDUP(ROW(A31)*12/118,0),RANDBETWEEN(1,28))</f>
        <v>45751</v>
      </c>
      <c r="Q30" s="2">
        <f t="shared" ca="1" si="1"/>
        <v>46497</v>
      </c>
      <c r="R30" s="2">
        <f ca="1">Activity_OMEGA_AUG23[[#This Row],[Actual Start]]</f>
        <v>45751</v>
      </c>
      <c r="S30" s="2">
        <f t="shared" ca="1" si="0"/>
        <v>46483</v>
      </c>
    </row>
    <row r="31" spans="1:19" x14ac:dyDescent="0.3">
      <c r="A31" t="s">
        <v>19</v>
      </c>
      <c r="B31" t="s">
        <v>256</v>
      </c>
      <c r="C31" t="s">
        <v>192</v>
      </c>
      <c r="D31" t="s">
        <v>246</v>
      </c>
      <c r="E31" t="s">
        <v>257</v>
      </c>
      <c r="F31" t="s">
        <v>161</v>
      </c>
      <c r="G31" t="s">
        <v>40</v>
      </c>
      <c r="H31" t="s">
        <v>27</v>
      </c>
      <c r="I31" t="s">
        <v>258</v>
      </c>
      <c r="J31" t="s">
        <v>181</v>
      </c>
      <c r="K31" t="s">
        <v>27</v>
      </c>
      <c r="L31" t="s">
        <v>259</v>
      </c>
      <c r="M31" t="s">
        <v>182</v>
      </c>
      <c r="N31" s="2">
        <f ca="1">DATE(2025,ROUNDUP(ROW(A32)*12/118,0),RANDBETWEEN(1,28))</f>
        <v>45765</v>
      </c>
      <c r="O31" s="2">
        <f ca="1">DATE(2027,ROUNDUP(ROW(A32)*12/118,0),RANDBETWEEN(1,28))</f>
        <v>46492</v>
      </c>
      <c r="P31" s="2">
        <f ca="1">DATE(2025,ROUNDUP(ROW(A32)*12/118,0),RANDBETWEEN(1,28))</f>
        <v>45775</v>
      </c>
      <c r="Q31" s="2">
        <f t="shared" ca="1" si="1"/>
        <v>46483</v>
      </c>
      <c r="R31" s="2">
        <f ca="1">Activity_OMEGA_AUG23[[#This Row],[Actual Start]]</f>
        <v>45775</v>
      </c>
      <c r="S31" s="2">
        <f t="shared" ca="1" si="0"/>
        <v>46495</v>
      </c>
    </row>
    <row r="32" spans="1:19" x14ac:dyDescent="0.3">
      <c r="A32" t="s">
        <v>19</v>
      </c>
      <c r="B32" t="s">
        <v>131</v>
      </c>
      <c r="C32" t="s">
        <v>21</v>
      </c>
      <c r="D32" t="s">
        <v>126</v>
      </c>
      <c r="E32" t="s">
        <v>132</v>
      </c>
      <c r="F32" t="s">
        <v>128</v>
      </c>
      <c r="G32" t="s">
        <v>40</v>
      </c>
      <c r="H32" t="s">
        <v>26</v>
      </c>
      <c r="I32" t="s">
        <v>26</v>
      </c>
      <c r="J32" t="s">
        <v>133</v>
      </c>
      <c r="K32" t="s">
        <v>133</v>
      </c>
      <c r="L32" t="s">
        <v>133</v>
      </c>
      <c r="M32" t="s">
        <v>130</v>
      </c>
      <c r="N32" s="2">
        <f ca="1">DATE(2025,ROUNDUP(ROW(A33)*12/118,0),RANDBETWEEN(1,28))</f>
        <v>45751</v>
      </c>
      <c r="O32" s="2">
        <f ca="1">DATE(2027,ROUNDUP(ROW(A33)*12/118,0),RANDBETWEEN(1,28))</f>
        <v>46491</v>
      </c>
      <c r="P32" s="2">
        <f ca="1">DATE(2025,ROUNDUP(ROW(A33)*12/118,0),RANDBETWEEN(1,28))</f>
        <v>45774</v>
      </c>
      <c r="Q32" s="2">
        <f t="shared" ca="1" si="1"/>
        <v>46495</v>
      </c>
      <c r="R32" s="2">
        <f ca="1">Activity_OMEGA_AUG23[[#This Row],[Actual Start]]</f>
        <v>45774</v>
      </c>
      <c r="S32" s="2">
        <f t="shared" ca="1" si="0"/>
        <v>46504</v>
      </c>
    </row>
    <row r="33" spans="1:19" x14ac:dyDescent="0.3">
      <c r="A33" t="s">
        <v>19</v>
      </c>
      <c r="B33" t="s">
        <v>348</v>
      </c>
      <c r="C33" t="s">
        <v>192</v>
      </c>
      <c r="D33" t="s">
        <v>346</v>
      </c>
      <c r="E33" t="s">
        <v>349</v>
      </c>
      <c r="F33" t="s">
        <v>312</v>
      </c>
      <c r="G33" t="s">
        <v>64</v>
      </c>
      <c r="H33" t="s">
        <v>27</v>
      </c>
      <c r="I33" t="s">
        <v>27</v>
      </c>
      <c r="J33" t="s">
        <v>27</v>
      </c>
      <c r="K33" t="s">
        <v>27</v>
      </c>
      <c r="L33" t="s">
        <v>27</v>
      </c>
      <c r="M33" t="s">
        <v>52</v>
      </c>
      <c r="N33" s="2">
        <f ca="1">DATE(2025,ROUNDUP(ROW(A34)*12/118,0),RANDBETWEEN(1,28))</f>
        <v>45750</v>
      </c>
      <c r="O33" s="2">
        <f ca="1">DATE(2027,ROUNDUP(ROW(A34)*12/118,0),RANDBETWEEN(1,28))</f>
        <v>46493</v>
      </c>
      <c r="P33" s="2">
        <f ca="1">DATE(2025,ROUNDUP(ROW(A34)*12/118,0),RANDBETWEEN(1,28))</f>
        <v>45749</v>
      </c>
      <c r="Q33" s="2">
        <f t="shared" ca="1" si="1"/>
        <v>46504</v>
      </c>
      <c r="R33" s="2">
        <f ca="1">Activity_OMEGA_AUG23[[#This Row],[Actual Start]]</f>
        <v>45749</v>
      </c>
      <c r="S33" s="2">
        <f t="shared" ca="1" si="0"/>
        <v>46499</v>
      </c>
    </row>
    <row r="34" spans="1:19" x14ac:dyDescent="0.3">
      <c r="A34" t="s">
        <v>19</v>
      </c>
      <c r="B34" t="s">
        <v>68</v>
      </c>
      <c r="C34" t="s">
        <v>21</v>
      </c>
      <c r="D34" t="s">
        <v>69</v>
      </c>
      <c r="E34" t="s">
        <v>70</v>
      </c>
      <c r="F34" t="s">
        <v>24</v>
      </c>
      <c r="G34" t="s">
        <v>45</v>
      </c>
      <c r="H34" t="s">
        <v>26</v>
      </c>
      <c r="I34" t="s">
        <v>26</v>
      </c>
      <c r="J34" t="s">
        <v>27</v>
      </c>
      <c r="K34" t="s">
        <v>27</v>
      </c>
      <c r="L34" t="s">
        <v>27</v>
      </c>
      <c r="M34" t="s">
        <v>32</v>
      </c>
      <c r="N34" s="2">
        <f ca="1">DATE(2025,ROUNDUP(ROW(A35)*12/118,0),RANDBETWEEN(1,28))</f>
        <v>45772</v>
      </c>
      <c r="O34" s="2">
        <f ca="1">DATE(2027,ROUNDUP(ROW(A35)*12/118,0),RANDBETWEEN(1,28))</f>
        <v>46489</v>
      </c>
      <c r="P34" s="2">
        <f ca="1">DATE(2025,ROUNDUP(ROW(A35)*12/118,0),RANDBETWEEN(1,28))</f>
        <v>45756</v>
      </c>
      <c r="Q34" s="2">
        <f t="shared" ca="1" si="1"/>
        <v>46499</v>
      </c>
      <c r="R34" s="2">
        <f ca="1">Activity_OMEGA_AUG23[[#This Row],[Actual Start]]</f>
        <v>45756</v>
      </c>
      <c r="S34" s="2">
        <f t="shared" ref="S34:S65" ca="1" si="2">Q35</f>
        <v>46482</v>
      </c>
    </row>
    <row r="35" spans="1:19" x14ac:dyDescent="0.3">
      <c r="A35" t="s">
        <v>19</v>
      </c>
      <c r="B35" t="s">
        <v>362</v>
      </c>
      <c r="C35" t="s">
        <v>192</v>
      </c>
      <c r="D35" t="s">
        <v>360</v>
      </c>
      <c r="E35" t="s">
        <v>363</v>
      </c>
      <c r="F35" t="s">
        <v>312</v>
      </c>
      <c r="G35" t="s">
        <v>64</v>
      </c>
      <c r="H35" t="s">
        <v>27</v>
      </c>
      <c r="I35" t="s">
        <v>27</v>
      </c>
      <c r="J35" t="s">
        <v>27</v>
      </c>
      <c r="K35" t="s">
        <v>27</v>
      </c>
      <c r="L35" t="s">
        <v>27</v>
      </c>
      <c r="M35" t="s">
        <v>52</v>
      </c>
      <c r="N35" s="2">
        <f ca="1">DATE(2025,ROUNDUP(ROW(A36)*12/118,0),RANDBETWEEN(1,28))</f>
        <v>45775</v>
      </c>
      <c r="O35" s="2">
        <f ca="1">DATE(2027,ROUNDUP(ROW(A36)*12/118,0),RANDBETWEEN(1,28))</f>
        <v>46492</v>
      </c>
      <c r="P35" s="2">
        <f ca="1">DATE(2025,ROUNDUP(ROW(A36)*12/118,0),RANDBETWEEN(1,28))</f>
        <v>45750</v>
      </c>
      <c r="Q35" s="2">
        <f t="shared" ca="1" si="1"/>
        <v>46482</v>
      </c>
      <c r="R35" s="2">
        <f ca="1">Activity_OMEGA_AUG23[[#This Row],[Actual Start]]</f>
        <v>45750</v>
      </c>
      <c r="S35" s="2">
        <f t="shared" ca="1" si="2"/>
        <v>46482</v>
      </c>
    </row>
    <row r="36" spans="1:19" x14ac:dyDescent="0.3">
      <c r="A36" t="s">
        <v>19</v>
      </c>
      <c r="B36" t="s">
        <v>364</v>
      </c>
      <c r="C36" t="s">
        <v>192</v>
      </c>
      <c r="D36" t="s">
        <v>365</v>
      </c>
      <c r="E36" t="s">
        <v>366</v>
      </c>
      <c r="F36" t="s">
        <v>312</v>
      </c>
      <c r="G36" t="s">
        <v>35</v>
      </c>
      <c r="H36" t="s">
        <v>27</v>
      </c>
      <c r="I36" t="s">
        <v>27</v>
      </c>
      <c r="J36" t="s">
        <v>27</v>
      </c>
      <c r="K36" t="s">
        <v>27</v>
      </c>
      <c r="L36" t="s">
        <v>27</v>
      </c>
      <c r="M36" t="s">
        <v>52</v>
      </c>
      <c r="N36" s="2">
        <f ca="1">DATE(2025,ROUNDUP(ROW(A37)*12/118,0),RANDBETWEEN(1,28))</f>
        <v>45755</v>
      </c>
      <c r="O36" s="2">
        <f ca="1">DATE(2027,ROUNDUP(ROW(A37)*12/118,0),RANDBETWEEN(1,28))</f>
        <v>46487</v>
      </c>
      <c r="P36" s="2">
        <f ca="1">DATE(2025,ROUNDUP(ROW(A37)*12/118,0),RANDBETWEEN(1,28))</f>
        <v>45762</v>
      </c>
      <c r="Q36" s="2">
        <f t="shared" ca="1" si="1"/>
        <v>46482</v>
      </c>
      <c r="R36" s="2">
        <f ca="1">Activity_OMEGA_AUG23[[#This Row],[Actual Start]]</f>
        <v>45762</v>
      </c>
      <c r="S36" s="2">
        <f t="shared" ca="1" si="2"/>
        <v>46479</v>
      </c>
    </row>
    <row r="37" spans="1:19" x14ac:dyDescent="0.3">
      <c r="A37" t="s">
        <v>19</v>
      </c>
      <c r="B37" t="s">
        <v>175</v>
      </c>
      <c r="C37" t="s">
        <v>21</v>
      </c>
      <c r="D37" t="s">
        <v>159</v>
      </c>
      <c r="E37" t="s">
        <v>176</v>
      </c>
      <c r="F37" t="s">
        <v>161</v>
      </c>
      <c r="G37" t="s">
        <v>40</v>
      </c>
      <c r="H37" t="s">
        <v>26</v>
      </c>
      <c r="I37" t="s">
        <v>26</v>
      </c>
      <c r="J37" t="s">
        <v>177</v>
      </c>
      <c r="K37" t="s">
        <v>177</v>
      </c>
      <c r="L37" t="s">
        <v>177</v>
      </c>
      <c r="M37" t="s">
        <v>178</v>
      </c>
      <c r="N37" s="2">
        <f ca="1">DATE(2025,ROUNDUP(ROW(A38)*12/118,0),RANDBETWEEN(1,28))</f>
        <v>45755</v>
      </c>
      <c r="O37" s="2">
        <f ca="1">DATE(2027,ROUNDUP(ROW(A38)*12/118,0),RANDBETWEEN(1,28))</f>
        <v>46486</v>
      </c>
      <c r="P37" s="2">
        <f ca="1">DATE(2025,ROUNDUP(ROW(A38)*12/118,0),RANDBETWEEN(1,28))</f>
        <v>45775</v>
      </c>
      <c r="Q37" s="2">
        <f t="shared" ca="1" si="1"/>
        <v>46479</v>
      </c>
      <c r="R37" s="2">
        <f ca="1">Activity_OMEGA_AUG23[[#This Row],[Actual Start]]</f>
        <v>45775</v>
      </c>
      <c r="S37" s="2">
        <f t="shared" ca="1" si="2"/>
        <v>46494</v>
      </c>
    </row>
    <row r="38" spans="1:19" x14ac:dyDescent="0.3">
      <c r="A38" t="s">
        <v>19</v>
      </c>
      <c r="B38" t="s">
        <v>219</v>
      </c>
      <c r="C38" t="s">
        <v>21</v>
      </c>
      <c r="D38" t="s">
        <v>213</v>
      </c>
      <c r="E38" t="s">
        <v>220</v>
      </c>
      <c r="F38" t="s">
        <v>161</v>
      </c>
      <c r="G38" t="s">
        <v>40</v>
      </c>
      <c r="H38" t="s">
        <v>26</v>
      </c>
      <c r="I38" t="s">
        <v>26</v>
      </c>
      <c r="J38" t="s">
        <v>173</v>
      </c>
      <c r="K38" t="s">
        <v>173</v>
      </c>
      <c r="L38" t="s">
        <v>173</v>
      </c>
      <c r="M38" t="s">
        <v>174</v>
      </c>
      <c r="N38" s="2">
        <f ca="1">DATE(2025,ROUNDUP(ROW(A39)*12/118,0),RANDBETWEEN(1,28))</f>
        <v>45751</v>
      </c>
      <c r="O38" s="2">
        <f ca="1">DATE(2027,ROUNDUP(ROW(A39)*12/118,0),RANDBETWEEN(1,28))</f>
        <v>46490</v>
      </c>
      <c r="P38" s="2">
        <f ca="1">DATE(2025,ROUNDUP(ROW(A39)*12/118,0),RANDBETWEEN(1,28))</f>
        <v>45756</v>
      </c>
      <c r="Q38" s="2">
        <f t="shared" ca="1" si="1"/>
        <v>46494</v>
      </c>
      <c r="R38" s="2">
        <f ca="1">Activity_OMEGA_AUG23[[#This Row],[Actual Start]]</f>
        <v>45756</v>
      </c>
      <c r="S38" s="2">
        <f t="shared" ca="1" si="2"/>
        <v>46514</v>
      </c>
    </row>
    <row r="39" spans="1:19" x14ac:dyDescent="0.3">
      <c r="A39" t="s">
        <v>19</v>
      </c>
      <c r="B39" t="s">
        <v>183</v>
      </c>
      <c r="C39" t="s">
        <v>21</v>
      </c>
      <c r="D39" t="s">
        <v>159</v>
      </c>
      <c r="E39" t="s">
        <v>184</v>
      </c>
      <c r="F39" t="s">
        <v>161</v>
      </c>
      <c r="G39" t="s">
        <v>40</v>
      </c>
      <c r="H39" t="s">
        <v>26</v>
      </c>
      <c r="I39" t="s">
        <v>26</v>
      </c>
      <c r="J39" t="s">
        <v>185</v>
      </c>
      <c r="K39" t="s">
        <v>185</v>
      </c>
      <c r="L39" t="s">
        <v>185</v>
      </c>
      <c r="M39" t="s">
        <v>186</v>
      </c>
      <c r="N39" s="2">
        <f ca="1">DATE(2025,ROUNDUP(ROW(A40)*12/118,0),RANDBETWEEN(1,28))</f>
        <v>45778</v>
      </c>
      <c r="O39" s="2">
        <f ca="1">DATE(2027,ROUNDUP(ROW(A40)*12/118,0),RANDBETWEEN(1,28))</f>
        <v>46508</v>
      </c>
      <c r="P39" s="2">
        <f ca="1">DATE(2025,ROUNDUP(ROW(A40)*12/118,0),RANDBETWEEN(1,28))</f>
        <v>45799</v>
      </c>
      <c r="Q39" s="2">
        <f t="shared" ca="1" si="1"/>
        <v>46514</v>
      </c>
      <c r="R39" s="2">
        <f ca="1">Activity_OMEGA_AUG23[[#This Row],[Actual Start]]</f>
        <v>45799</v>
      </c>
      <c r="S39" s="2">
        <f t="shared" ca="1" si="2"/>
        <v>46516</v>
      </c>
    </row>
    <row r="40" spans="1:19" x14ac:dyDescent="0.3">
      <c r="A40" t="s">
        <v>19</v>
      </c>
      <c r="B40" t="s">
        <v>260</v>
      </c>
      <c r="C40" t="s">
        <v>192</v>
      </c>
      <c r="D40" t="s">
        <v>246</v>
      </c>
      <c r="E40" t="s">
        <v>261</v>
      </c>
      <c r="F40" t="s">
        <v>161</v>
      </c>
      <c r="G40" t="s">
        <v>40</v>
      </c>
      <c r="H40" t="s">
        <v>27</v>
      </c>
      <c r="I40" t="s">
        <v>27</v>
      </c>
      <c r="J40" t="s">
        <v>185</v>
      </c>
      <c r="K40" t="s">
        <v>27</v>
      </c>
      <c r="L40" t="s">
        <v>27</v>
      </c>
      <c r="M40" t="s">
        <v>186</v>
      </c>
      <c r="N40" s="2">
        <f ca="1">DATE(2025,ROUNDUP(ROW(A41)*12/118,0),RANDBETWEEN(1,28))</f>
        <v>45803</v>
      </c>
      <c r="O40" s="2">
        <f ca="1">DATE(2027,ROUNDUP(ROW(A41)*12/118,0),RANDBETWEEN(1,28))</f>
        <v>46531</v>
      </c>
      <c r="P40" s="2">
        <f ca="1">DATE(2025,ROUNDUP(ROW(A41)*12/118,0),RANDBETWEEN(1,28))</f>
        <v>45782</v>
      </c>
      <c r="Q40" s="2">
        <f t="shared" ca="1" si="1"/>
        <v>46516</v>
      </c>
      <c r="R40" s="2">
        <f ca="1">Activity_OMEGA_AUG23[[#This Row],[Actual Start]]</f>
        <v>45782</v>
      </c>
      <c r="S40" s="2">
        <f t="shared" ca="1" si="2"/>
        <v>46508</v>
      </c>
    </row>
    <row r="41" spans="1:19" x14ac:dyDescent="0.3">
      <c r="A41" t="s">
        <v>19</v>
      </c>
      <c r="B41" t="s">
        <v>254</v>
      </c>
      <c r="C41" t="s">
        <v>21</v>
      </c>
      <c r="D41" t="s">
        <v>246</v>
      </c>
      <c r="E41" t="s">
        <v>255</v>
      </c>
      <c r="F41" t="s">
        <v>161</v>
      </c>
      <c r="G41" t="s">
        <v>40</v>
      </c>
      <c r="H41" t="s">
        <v>26</v>
      </c>
      <c r="I41" t="s">
        <v>26</v>
      </c>
      <c r="J41" t="s">
        <v>177</v>
      </c>
      <c r="K41" t="s">
        <v>177</v>
      </c>
      <c r="L41" t="s">
        <v>177</v>
      </c>
      <c r="M41" t="s">
        <v>178</v>
      </c>
      <c r="N41" s="2">
        <f ca="1">DATE(2025,ROUNDUP(ROW(A42)*12/118,0),RANDBETWEEN(1,28))</f>
        <v>45790</v>
      </c>
      <c r="O41" s="2">
        <f ca="1">DATE(2027,ROUNDUP(ROW(A42)*12/118,0),RANDBETWEEN(1,28))</f>
        <v>46525</v>
      </c>
      <c r="P41" s="2">
        <f ca="1">DATE(2025,ROUNDUP(ROW(A42)*12/118,0),RANDBETWEEN(1,28))</f>
        <v>45779</v>
      </c>
      <c r="Q41" s="2">
        <f t="shared" ca="1" si="1"/>
        <v>46508</v>
      </c>
      <c r="R41" s="2">
        <f ca="1">Activity_OMEGA_AUG23[[#This Row],[Actual Start]]</f>
        <v>45779</v>
      </c>
      <c r="S41" s="2">
        <f t="shared" ca="1" si="2"/>
        <v>46521</v>
      </c>
    </row>
    <row r="42" spans="1:19" x14ac:dyDescent="0.3">
      <c r="A42" t="s">
        <v>19</v>
      </c>
      <c r="B42" t="s">
        <v>125</v>
      </c>
      <c r="C42" t="s">
        <v>21</v>
      </c>
      <c r="D42" t="s">
        <v>126</v>
      </c>
      <c r="E42" t="s">
        <v>127</v>
      </c>
      <c r="F42" t="s">
        <v>128</v>
      </c>
      <c r="G42" t="s">
        <v>40</v>
      </c>
      <c r="H42" t="s">
        <v>26</v>
      </c>
      <c r="I42" t="s">
        <v>26</v>
      </c>
      <c r="J42" t="s">
        <v>27</v>
      </c>
      <c r="K42" t="s">
        <v>129</v>
      </c>
      <c r="L42" t="s">
        <v>129</v>
      </c>
      <c r="M42" t="s">
        <v>130</v>
      </c>
      <c r="N42" s="2">
        <f ca="1">DATE(2025,ROUNDUP(ROW(A43)*12/118,0),RANDBETWEEN(1,28))</f>
        <v>45792</v>
      </c>
      <c r="O42" s="2">
        <f ca="1">DATE(2027,ROUNDUP(ROW(A43)*12/118,0),RANDBETWEEN(1,28))</f>
        <v>46535</v>
      </c>
      <c r="P42" s="2">
        <f ca="1">DATE(2025,ROUNDUP(ROW(A43)*12/118,0),RANDBETWEEN(1,28))</f>
        <v>45784</v>
      </c>
      <c r="Q42" s="2">
        <f t="shared" ca="1" si="1"/>
        <v>46521</v>
      </c>
      <c r="R42" s="2">
        <f ca="1">Activity_OMEGA_AUG23[[#This Row],[Actual Start]]</f>
        <v>45784</v>
      </c>
      <c r="S42" s="2">
        <f t="shared" ca="1" si="2"/>
        <v>46525</v>
      </c>
    </row>
    <row r="43" spans="1:19" x14ac:dyDescent="0.3">
      <c r="A43" t="s">
        <v>19</v>
      </c>
      <c r="B43" t="s">
        <v>353</v>
      </c>
      <c r="C43" t="s">
        <v>192</v>
      </c>
      <c r="D43" t="s">
        <v>354</v>
      </c>
      <c r="E43" t="s">
        <v>355</v>
      </c>
      <c r="F43" t="s">
        <v>312</v>
      </c>
      <c r="G43" t="s">
        <v>45</v>
      </c>
      <c r="H43" t="s">
        <v>27</v>
      </c>
      <c r="I43" t="s">
        <v>27</v>
      </c>
      <c r="J43" t="s">
        <v>27</v>
      </c>
      <c r="K43" t="s">
        <v>27</v>
      </c>
      <c r="L43" t="s">
        <v>27</v>
      </c>
      <c r="M43" t="s">
        <v>52</v>
      </c>
      <c r="N43" s="2">
        <f ca="1">DATE(2025,ROUNDUP(ROW(A44)*12/118,0),RANDBETWEEN(1,28))</f>
        <v>45787</v>
      </c>
      <c r="O43" s="2">
        <f ca="1">DATE(2027,ROUNDUP(ROW(A44)*12/118,0),RANDBETWEEN(1,28))</f>
        <v>46529</v>
      </c>
      <c r="P43" s="2">
        <f ca="1">DATE(2025,ROUNDUP(ROW(A44)*12/118,0),RANDBETWEEN(1,28))</f>
        <v>45803</v>
      </c>
      <c r="Q43" s="2">
        <f t="shared" ca="1" si="1"/>
        <v>46525</v>
      </c>
      <c r="R43" s="2">
        <f ca="1">Activity_OMEGA_AUG23[[#This Row],[Actual Start]]</f>
        <v>45803</v>
      </c>
      <c r="S43" s="2">
        <f t="shared" ca="1" si="2"/>
        <v>46511</v>
      </c>
    </row>
    <row r="44" spans="1:19" x14ac:dyDescent="0.3">
      <c r="A44" t="s">
        <v>19</v>
      </c>
      <c r="B44" t="s">
        <v>53</v>
      </c>
      <c r="C44" t="s">
        <v>21</v>
      </c>
      <c r="D44" t="s">
        <v>38</v>
      </c>
      <c r="E44" t="s">
        <v>54</v>
      </c>
      <c r="F44" t="s">
        <v>24</v>
      </c>
      <c r="G44" t="s">
        <v>40</v>
      </c>
      <c r="H44" t="s">
        <v>26</v>
      </c>
      <c r="I44" t="s">
        <v>26</v>
      </c>
      <c r="J44" t="s">
        <v>27</v>
      </c>
      <c r="K44" t="s">
        <v>27</v>
      </c>
      <c r="L44" t="s">
        <v>27</v>
      </c>
      <c r="M44" t="s">
        <v>32</v>
      </c>
      <c r="N44" s="2">
        <f ca="1">DATE(2025,ROUNDUP(ROW(A45)*12/118,0),RANDBETWEEN(1,28))</f>
        <v>45793</v>
      </c>
      <c r="O44" s="2">
        <f ca="1">DATE(2027,ROUNDUP(ROW(A45)*12/118,0),RANDBETWEEN(1,28))</f>
        <v>46516</v>
      </c>
      <c r="P44" s="2">
        <f ca="1">DATE(2025,ROUNDUP(ROW(A45)*12/118,0),RANDBETWEEN(1,28))</f>
        <v>45797</v>
      </c>
      <c r="Q44" s="2">
        <f t="shared" ca="1" si="1"/>
        <v>46511</v>
      </c>
      <c r="R44" s="2">
        <f ca="1">Activity_OMEGA_AUG23[[#This Row],[Actual Start]]</f>
        <v>45797</v>
      </c>
      <c r="S44" s="2">
        <f t="shared" ca="1" si="2"/>
        <v>46518</v>
      </c>
    </row>
    <row r="45" spans="1:19" x14ac:dyDescent="0.3">
      <c r="A45" t="s">
        <v>19</v>
      </c>
      <c r="B45" t="s">
        <v>262</v>
      </c>
      <c r="C45" t="s">
        <v>263</v>
      </c>
      <c r="D45" t="s">
        <v>264</v>
      </c>
      <c r="E45" t="s">
        <v>265</v>
      </c>
      <c r="F45" t="s">
        <v>161</v>
      </c>
      <c r="G45" t="s">
        <v>45</v>
      </c>
      <c r="H45" t="s">
        <v>163</v>
      </c>
      <c r="I45" t="s">
        <v>26</v>
      </c>
      <c r="J45" t="s">
        <v>190</v>
      </c>
      <c r="K45" t="s">
        <v>266</v>
      </c>
      <c r="L45" t="s">
        <v>190</v>
      </c>
      <c r="M45" t="s">
        <v>147</v>
      </c>
      <c r="N45" s="2">
        <f ca="1">DATE(2025,ROUNDUP(ROW(A46)*12/118,0),RANDBETWEEN(1,28))</f>
        <v>45800</v>
      </c>
      <c r="O45" s="2">
        <f ca="1">DATE(2027,ROUNDUP(ROW(A46)*12/118,0),RANDBETWEEN(1,28))</f>
        <v>46522</v>
      </c>
      <c r="P45" s="2">
        <f ca="1">DATE(2025,ROUNDUP(ROW(A46)*12/118,0),RANDBETWEEN(1,28))</f>
        <v>45787</v>
      </c>
      <c r="Q45" s="2">
        <f t="shared" ca="1" si="1"/>
        <v>46518</v>
      </c>
      <c r="R45" s="2">
        <f ca="1">Activity_OMEGA_AUG23[[#This Row],[Actual Start]]</f>
        <v>45787</v>
      </c>
      <c r="S45" s="2">
        <f t="shared" ca="1" si="2"/>
        <v>46523</v>
      </c>
    </row>
    <row r="46" spans="1:19" x14ac:dyDescent="0.3">
      <c r="A46" t="s">
        <v>19</v>
      </c>
      <c r="B46" t="s">
        <v>85</v>
      </c>
      <c r="C46" t="s">
        <v>21</v>
      </c>
      <c r="D46" t="s">
        <v>86</v>
      </c>
      <c r="E46" t="s">
        <v>87</v>
      </c>
      <c r="F46" t="s">
        <v>24</v>
      </c>
      <c r="G46" t="s">
        <v>40</v>
      </c>
      <c r="H46" t="s">
        <v>26</v>
      </c>
      <c r="I46" t="s">
        <v>26</v>
      </c>
      <c r="J46" t="s">
        <v>27</v>
      </c>
      <c r="K46" t="s">
        <v>27</v>
      </c>
      <c r="L46" t="s">
        <v>27</v>
      </c>
      <c r="M46" t="s">
        <v>41</v>
      </c>
      <c r="N46" s="2">
        <f ca="1">DATE(2025,ROUNDUP(ROW(A47)*12/118,0),RANDBETWEEN(1,28))</f>
        <v>45800</v>
      </c>
      <c r="O46" s="2">
        <f ca="1">DATE(2027,ROUNDUP(ROW(A47)*12/118,0),RANDBETWEEN(1,28))</f>
        <v>46517</v>
      </c>
      <c r="P46" s="2">
        <f ca="1">DATE(2025,ROUNDUP(ROW(A47)*12/118,0),RANDBETWEEN(1,28))</f>
        <v>45786</v>
      </c>
      <c r="Q46" s="2">
        <f t="shared" ca="1" si="1"/>
        <v>46523</v>
      </c>
      <c r="R46" s="2">
        <f ca="1">Activity_OMEGA_AUG23[[#This Row],[Actual Start]]</f>
        <v>45786</v>
      </c>
      <c r="S46" s="2">
        <f t="shared" ca="1" si="2"/>
        <v>46530</v>
      </c>
    </row>
    <row r="47" spans="1:19" x14ac:dyDescent="0.3">
      <c r="A47" t="s">
        <v>19</v>
      </c>
      <c r="B47" t="s">
        <v>83</v>
      </c>
      <c r="C47" t="s">
        <v>21</v>
      </c>
      <c r="D47" t="s">
        <v>81</v>
      </c>
      <c r="E47" t="s">
        <v>84</v>
      </c>
      <c r="F47" t="s">
        <v>24</v>
      </c>
      <c r="G47" t="s">
        <v>64</v>
      </c>
      <c r="H47" t="s">
        <v>26</v>
      </c>
      <c r="I47" t="s">
        <v>26</v>
      </c>
      <c r="J47" t="s">
        <v>27</v>
      </c>
      <c r="K47" t="s">
        <v>27</v>
      </c>
      <c r="L47" t="s">
        <v>27</v>
      </c>
      <c r="M47" t="s">
        <v>41</v>
      </c>
      <c r="N47" s="2">
        <f ca="1">DATE(2025,ROUNDUP(ROW(A48)*12/118,0),RANDBETWEEN(1,28))</f>
        <v>45794</v>
      </c>
      <c r="O47" s="2">
        <f ca="1">DATE(2027,ROUNDUP(ROW(A48)*12/118,0),RANDBETWEEN(1,28))</f>
        <v>46520</v>
      </c>
      <c r="P47" s="2">
        <f ca="1">DATE(2025,ROUNDUP(ROW(A48)*12/118,0),RANDBETWEEN(1,28))</f>
        <v>45796</v>
      </c>
      <c r="Q47" s="2">
        <f t="shared" ca="1" si="1"/>
        <v>46530</v>
      </c>
      <c r="R47" s="2">
        <f ca="1">Activity_OMEGA_AUG23[[#This Row],[Actual Start]]</f>
        <v>45796</v>
      </c>
      <c r="S47" s="2">
        <f t="shared" ca="1" si="2"/>
        <v>46528</v>
      </c>
    </row>
    <row r="48" spans="1:19" x14ac:dyDescent="0.3">
      <c r="A48" t="s">
        <v>19</v>
      </c>
      <c r="B48" t="s">
        <v>91</v>
      </c>
      <c r="C48" t="s">
        <v>21</v>
      </c>
      <c r="D48" t="s">
        <v>92</v>
      </c>
      <c r="E48" t="s">
        <v>93</v>
      </c>
      <c r="F48" t="s">
        <v>24</v>
      </c>
      <c r="G48" t="s">
        <v>31</v>
      </c>
      <c r="H48" t="s">
        <v>26</v>
      </c>
      <c r="I48" t="s">
        <v>26</v>
      </c>
      <c r="J48" t="s">
        <v>27</v>
      </c>
      <c r="K48" t="s">
        <v>27</v>
      </c>
      <c r="L48" t="s">
        <v>27</v>
      </c>
      <c r="M48" t="s">
        <v>49</v>
      </c>
      <c r="N48" s="2">
        <f ca="1">DATE(2025,ROUNDUP(ROW(A49)*12/118,0),RANDBETWEEN(1,28))</f>
        <v>45798</v>
      </c>
      <c r="O48" s="2">
        <f ca="1">DATE(2027,ROUNDUP(ROW(A49)*12/118,0),RANDBETWEEN(1,28))</f>
        <v>46511</v>
      </c>
      <c r="P48" s="2">
        <f ca="1">DATE(2025,ROUNDUP(ROW(A49)*12/118,0),RANDBETWEEN(1,28))</f>
        <v>45802</v>
      </c>
      <c r="Q48" s="2">
        <f t="shared" ca="1" si="1"/>
        <v>46528</v>
      </c>
      <c r="R48" s="2">
        <f ca="1">Activity_OMEGA_AUG23[[#This Row],[Actual Start]]</f>
        <v>45802</v>
      </c>
      <c r="S48" s="2">
        <f t="shared" ca="1" si="2"/>
        <v>46550</v>
      </c>
    </row>
    <row r="49" spans="1:19" x14ac:dyDescent="0.3">
      <c r="A49" t="s">
        <v>19</v>
      </c>
      <c r="B49" t="s">
        <v>379</v>
      </c>
      <c r="C49" t="s">
        <v>192</v>
      </c>
      <c r="D49" t="s">
        <v>373</v>
      </c>
      <c r="E49" t="s">
        <v>380</v>
      </c>
      <c r="F49" t="s">
        <v>196</v>
      </c>
      <c r="G49" t="s">
        <v>196</v>
      </c>
      <c r="H49" t="s">
        <v>27</v>
      </c>
      <c r="I49" t="s">
        <v>27</v>
      </c>
      <c r="J49" t="s">
        <v>27</v>
      </c>
      <c r="K49" t="s">
        <v>27</v>
      </c>
      <c r="L49" t="s">
        <v>27</v>
      </c>
      <c r="M49" t="s">
        <v>27</v>
      </c>
      <c r="N49" s="2">
        <f ca="1">DATE(2025,ROUNDUP(ROW(A50)*12/118,0),RANDBETWEEN(1,28))</f>
        <v>45821</v>
      </c>
      <c r="O49" s="2">
        <f ca="1">DATE(2027,ROUNDUP(ROW(A50)*12/118,0),RANDBETWEEN(1,28))</f>
        <v>46543</v>
      </c>
      <c r="P49" s="2">
        <f ca="1">DATE(2025,ROUNDUP(ROW(A50)*12/118,0),RANDBETWEEN(1,28))</f>
        <v>45824</v>
      </c>
      <c r="Q49" s="2">
        <f t="shared" ca="1" si="1"/>
        <v>46550</v>
      </c>
      <c r="R49" s="2">
        <f ca="1">Activity_OMEGA_AUG23[[#This Row],[Actual Start]]</f>
        <v>45824</v>
      </c>
      <c r="S49" s="2">
        <f t="shared" ca="1" si="2"/>
        <v>46563</v>
      </c>
    </row>
    <row r="50" spans="1:19" x14ac:dyDescent="0.3">
      <c r="A50" t="s">
        <v>19</v>
      </c>
      <c r="B50" t="s">
        <v>377</v>
      </c>
      <c r="C50" t="s">
        <v>192</v>
      </c>
      <c r="D50" t="s">
        <v>373</v>
      </c>
      <c r="E50" t="s">
        <v>378</v>
      </c>
      <c r="F50" t="s">
        <v>196</v>
      </c>
      <c r="G50" t="s">
        <v>196</v>
      </c>
      <c r="H50" t="s">
        <v>27</v>
      </c>
      <c r="I50" t="s">
        <v>27</v>
      </c>
      <c r="J50" t="s">
        <v>27</v>
      </c>
      <c r="K50" t="s">
        <v>27</v>
      </c>
      <c r="L50" t="s">
        <v>27</v>
      </c>
      <c r="M50" t="s">
        <v>27</v>
      </c>
      <c r="N50" s="2">
        <f ca="1">DATE(2025,ROUNDUP(ROW(A51)*12/118,0),RANDBETWEEN(1,28))</f>
        <v>45812</v>
      </c>
      <c r="O50" s="2">
        <f ca="1">DATE(2027,ROUNDUP(ROW(A51)*12/118,0),RANDBETWEEN(1,28))</f>
        <v>46551</v>
      </c>
      <c r="P50" s="2">
        <f ca="1">DATE(2025,ROUNDUP(ROW(A51)*12/118,0),RANDBETWEEN(1,28))</f>
        <v>45815</v>
      </c>
      <c r="Q50" s="2">
        <f t="shared" ca="1" si="1"/>
        <v>46563</v>
      </c>
      <c r="R50" s="2">
        <f ca="1">Activity_OMEGA_AUG23[[#This Row],[Actual Start]]</f>
        <v>45815</v>
      </c>
      <c r="S50" s="2">
        <f t="shared" ca="1" si="2"/>
        <v>46543</v>
      </c>
    </row>
    <row r="51" spans="1:19" x14ac:dyDescent="0.3">
      <c r="A51" t="s">
        <v>19</v>
      </c>
      <c r="B51" t="s">
        <v>148</v>
      </c>
      <c r="C51" t="s">
        <v>21</v>
      </c>
      <c r="D51" t="s">
        <v>126</v>
      </c>
      <c r="E51" t="s">
        <v>149</v>
      </c>
      <c r="F51" t="s">
        <v>128</v>
      </c>
      <c r="G51" t="s">
        <v>64</v>
      </c>
      <c r="H51" t="s">
        <v>26</v>
      </c>
      <c r="I51" t="s">
        <v>26</v>
      </c>
      <c r="J51" t="s">
        <v>150</v>
      </c>
      <c r="K51" t="s">
        <v>150</v>
      </c>
      <c r="L51" t="s">
        <v>150</v>
      </c>
      <c r="M51" t="s">
        <v>147</v>
      </c>
      <c r="N51" s="2">
        <f ca="1">DATE(2025,ROUNDUP(ROW(A52)*12/118,0),RANDBETWEEN(1,28))</f>
        <v>45835</v>
      </c>
      <c r="O51" s="2">
        <f ca="1">DATE(2027,ROUNDUP(ROW(A52)*12/118,0),RANDBETWEEN(1,28))</f>
        <v>46547</v>
      </c>
      <c r="P51" s="2">
        <f ca="1">DATE(2025,ROUNDUP(ROW(A52)*12/118,0),RANDBETWEEN(1,28))</f>
        <v>45822</v>
      </c>
      <c r="Q51" s="2">
        <f t="shared" ca="1" si="1"/>
        <v>46543</v>
      </c>
      <c r="R51" s="2">
        <f ca="1">Activity_OMEGA_AUG23[[#This Row],[Actual Start]]</f>
        <v>45822</v>
      </c>
      <c r="S51" s="2">
        <f t="shared" ca="1" si="2"/>
        <v>46551</v>
      </c>
    </row>
    <row r="52" spans="1:19" x14ac:dyDescent="0.3">
      <c r="A52" t="s">
        <v>19</v>
      </c>
      <c r="B52" t="s">
        <v>78</v>
      </c>
      <c r="C52" t="s">
        <v>21</v>
      </c>
      <c r="D52" t="s">
        <v>66</v>
      </c>
      <c r="E52" t="s">
        <v>79</v>
      </c>
      <c r="F52" t="s">
        <v>24</v>
      </c>
      <c r="G52" t="s">
        <v>40</v>
      </c>
      <c r="H52" t="s">
        <v>26</v>
      </c>
      <c r="I52" t="s">
        <v>26</v>
      </c>
      <c r="J52" t="s">
        <v>27</v>
      </c>
      <c r="K52" t="s">
        <v>27</v>
      </c>
      <c r="L52" t="s">
        <v>27</v>
      </c>
      <c r="M52" t="s">
        <v>57</v>
      </c>
      <c r="N52" s="2">
        <f ca="1">DATE(2025,ROUNDUP(ROW(A53)*12/118,0),RANDBETWEEN(1,28))</f>
        <v>45816</v>
      </c>
      <c r="O52" s="2">
        <f ca="1">DATE(2027,ROUNDUP(ROW(A53)*12/118,0),RANDBETWEEN(1,28))</f>
        <v>46552</v>
      </c>
      <c r="P52" s="2">
        <f ca="1">DATE(2025,ROUNDUP(ROW(A53)*12/118,0),RANDBETWEEN(1,28))</f>
        <v>45824</v>
      </c>
      <c r="Q52" s="2">
        <f t="shared" ca="1" si="1"/>
        <v>46551</v>
      </c>
      <c r="R52" s="2">
        <f ca="1">Activity_OMEGA_AUG23[[#This Row],[Actual Start]]</f>
        <v>45824</v>
      </c>
      <c r="S52" s="2">
        <f t="shared" ca="1" si="2"/>
        <v>46554</v>
      </c>
    </row>
    <row r="53" spans="1:19" x14ac:dyDescent="0.3">
      <c r="A53" t="s">
        <v>19</v>
      </c>
      <c r="B53" t="s">
        <v>225</v>
      </c>
      <c r="C53" t="s">
        <v>192</v>
      </c>
      <c r="D53" t="s">
        <v>213</v>
      </c>
      <c r="E53" t="s">
        <v>226</v>
      </c>
      <c r="F53" t="s">
        <v>161</v>
      </c>
      <c r="G53" t="s">
        <v>40</v>
      </c>
      <c r="H53" t="s">
        <v>27</v>
      </c>
      <c r="I53" t="s">
        <v>227</v>
      </c>
      <c r="J53" t="s">
        <v>185</v>
      </c>
      <c r="K53" t="s">
        <v>27</v>
      </c>
      <c r="L53" t="s">
        <v>228</v>
      </c>
      <c r="M53" t="s">
        <v>186</v>
      </c>
      <c r="N53" s="2">
        <f ca="1">DATE(2025,ROUNDUP(ROW(A54)*12/118,0),RANDBETWEEN(1,28))</f>
        <v>45811</v>
      </c>
      <c r="O53" s="2">
        <f ca="1">DATE(2027,ROUNDUP(ROW(A54)*12/118,0),RANDBETWEEN(1,28))</f>
        <v>46556</v>
      </c>
      <c r="P53" s="2">
        <f ca="1">DATE(2025,ROUNDUP(ROW(A54)*12/118,0),RANDBETWEEN(1,28))</f>
        <v>45823</v>
      </c>
      <c r="Q53" s="2">
        <f t="shared" ca="1" si="1"/>
        <v>46554</v>
      </c>
      <c r="R53" s="2">
        <f ca="1">Activity_OMEGA_AUG23[[#This Row],[Actual Start]]</f>
        <v>45823</v>
      </c>
      <c r="S53" s="2">
        <f t="shared" ca="1" si="2"/>
        <v>46544</v>
      </c>
    </row>
    <row r="54" spans="1:19" x14ac:dyDescent="0.3">
      <c r="A54" t="s">
        <v>19</v>
      </c>
      <c r="B54" t="s">
        <v>252</v>
      </c>
      <c r="C54" t="s">
        <v>21</v>
      </c>
      <c r="D54" t="s">
        <v>246</v>
      </c>
      <c r="E54" t="s">
        <v>253</v>
      </c>
      <c r="F54" t="s">
        <v>161</v>
      </c>
      <c r="G54" t="s">
        <v>40</v>
      </c>
      <c r="H54" t="s">
        <v>26</v>
      </c>
      <c r="I54" t="s">
        <v>26</v>
      </c>
      <c r="J54" t="s">
        <v>173</v>
      </c>
      <c r="K54" t="s">
        <v>173</v>
      </c>
      <c r="L54" t="s">
        <v>173</v>
      </c>
      <c r="M54" t="s">
        <v>174</v>
      </c>
      <c r="N54" s="2">
        <f ca="1">DATE(2025,ROUNDUP(ROW(A55)*12/118,0),RANDBETWEEN(1,28))</f>
        <v>45829</v>
      </c>
      <c r="O54" s="2">
        <f ca="1">DATE(2027,ROUNDUP(ROW(A55)*12/118,0),RANDBETWEEN(1,28))</f>
        <v>46546</v>
      </c>
      <c r="P54" s="2">
        <f ca="1">DATE(2025,ROUNDUP(ROW(A55)*12/118,0),RANDBETWEEN(1,28))</f>
        <v>45834</v>
      </c>
      <c r="Q54" s="2">
        <f t="shared" ca="1" si="1"/>
        <v>46544</v>
      </c>
      <c r="R54" s="2">
        <f ca="1">Activity_OMEGA_AUG23[[#This Row],[Actual Start]]</f>
        <v>45834</v>
      </c>
      <c r="S54" s="2">
        <f t="shared" ca="1" si="2"/>
        <v>46548</v>
      </c>
    </row>
    <row r="55" spans="1:19" x14ac:dyDescent="0.3">
      <c r="A55" t="s">
        <v>19</v>
      </c>
      <c r="B55" t="s">
        <v>212</v>
      </c>
      <c r="C55" t="s">
        <v>21</v>
      </c>
      <c r="D55" t="s">
        <v>213</v>
      </c>
      <c r="E55" t="s">
        <v>214</v>
      </c>
      <c r="F55" t="s">
        <v>161</v>
      </c>
      <c r="G55" t="s">
        <v>40</v>
      </c>
      <c r="H55" t="s">
        <v>26</v>
      </c>
      <c r="I55" t="s">
        <v>26</v>
      </c>
      <c r="J55" t="s">
        <v>162</v>
      </c>
      <c r="K55" t="s">
        <v>162</v>
      </c>
      <c r="L55" t="s">
        <v>162</v>
      </c>
      <c r="M55" t="s">
        <v>163</v>
      </c>
      <c r="N55" s="2">
        <f ca="1">DATE(2025,ROUNDUP(ROW(A56)*12/118,0),RANDBETWEEN(1,28))</f>
        <v>45823</v>
      </c>
      <c r="O55" s="2">
        <f ca="1">DATE(2027,ROUNDUP(ROW(A56)*12/118,0),RANDBETWEEN(1,28))</f>
        <v>46562</v>
      </c>
      <c r="P55" s="2">
        <f ca="1">DATE(2025,ROUNDUP(ROW(A56)*12/118,0),RANDBETWEEN(1,28))</f>
        <v>45835</v>
      </c>
      <c r="Q55" s="2">
        <f t="shared" ca="1" si="1"/>
        <v>46548</v>
      </c>
      <c r="R55" s="2">
        <f ca="1">Activity_OMEGA_AUG23[[#This Row],[Actual Start]]</f>
        <v>45835</v>
      </c>
      <c r="S55" s="2">
        <f t="shared" ca="1" si="2"/>
        <v>46539</v>
      </c>
    </row>
    <row r="56" spans="1:19" x14ac:dyDescent="0.3">
      <c r="A56" t="s">
        <v>19</v>
      </c>
      <c r="B56" t="s">
        <v>50</v>
      </c>
      <c r="C56" t="s">
        <v>21</v>
      </c>
      <c r="D56" t="s">
        <v>38</v>
      </c>
      <c r="E56" t="s">
        <v>51</v>
      </c>
      <c r="F56" t="s">
        <v>24</v>
      </c>
      <c r="G56" t="s">
        <v>40</v>
      </c>
      <c r="H56" t="s">
        <v>26</v>
      </c>
      <c r="I56" t="s">
        <v>26</v>
      </c>
      <c r="J56" t="s">
        <v>27</v>
      </c>
      <c r="K56" t="s">
        <v>27</v>
      </c>
      <c r="L56" t="s">
        <v>27</v>
      </c>
      <c r="M56" t="s">
        <v>52</v>
      </c>
      <c r="N56" s="2">
        <f ca="1">DATE(2025,ROUNDUP(ROW(A57)*12/118,0),RANDBETWEEN(1,28))</f>
        <v>45810</v>
      </c>
      <c r="O56" s="2">
        <f ca="1">DATE(2027,ROUNDUP(ROW(A57)*12/118,0),RANDBETWEEN(1,28))</f>
        <v>46548</v>
      </c>
      <c r="P56" s="2">
        <f ca="1">DATE(2025,ROUNDUP(ROW(A57)*12/118,0),RANDBETWEEN(1,28))</f>
        <v>45809</v>
      </c>
      <c r="Q56" s="2">
        <f t="shared" ca="1" si="1"/>
        <v>46539</v>
      </c>
      <c r="R56" s="2">
        <f ca="1">Activity_OMEGA_AUG23[[#This Row],[Actual Start]]</f>
        <v>45809</v>
      </c>
      <c r="S56" s="2">
        <f t="shared" ca="1" si="2"/>
        <v>46554</v>
      </c>
    </row>
    <row r="57" spans="1:19" x14ac:dyDescent="0.3">
      <c r="A57" t="s">
        <v>19</v>
      </c>
      <c r="B57" t="s">
        <v>221</v>
      </c>
      <c r="C57" t="s">
        <v>21</v>
      </c>
      <c r="D57" t="s">
        <v>213</v>
      </c>
      <c r="E57" t="s">
        <v>222</v>
      </c>
      <c r="F57" t="s">
        <v>161</v>
      </c>
      <c r="G57" t="s">
        <v>40</v>
      </c>
      <c r="H57" t="s">
        <v>26</v>
      </c>
      <c r="I57" t="s">
        <v>26</v>
      </c>
      <c r="J57" t="s">
        <v>177</v>
      </c>
      <c r="K57" t="s">
        <v>177</v>
      </c>
      <c r="L57" t="s">
        <v>177</v>
      </c>
      <c r="M57" t="s">
        <v>178</v>
      </c>
      <c r="N57" s="2">
        <f ca="1">DATE(2025,ROUNDUP(ROW(A58)*12/118,0),RANDBETWEEN(1,28))</f>
        <v>45809</v>
      </c>
      <c r="O57" s="2">
        <f ca="1">DATE(2027,ROUNDUP(ROW(A58)*12/118,0),RANDBETWEEN(1,28))</f>
        <v>46544</v>
      </c>
      <c r="P57" s="2">
        <f ca="1">DATE(2025,ROUNDUP(ROW(A58)*12/118,0),RANDBETWEEN(1,28))</f>
        <v>45827</v>
      </c>
      <c r="Q57" s="2">
        <f t="shared" ca="1" si="1"/>
        <v>46554</v>
      </c>
      <c r="R57" s="2">
        <f ca="1">Activity_OMEGA_AUG23[[#This Row],[Actual Start]]</f>
        <v>45827</v>
      </c>
      <c r="S57" s="2">
        <f t="shared" ca="1" si="2"/>
        <v>46539</v>
      </c>
    </row>
    <row r="58" spans="1:19" x14ac:dyDescent="0.3">
      <c r="A58" t="s">
        <v>19</v>
      </c>
      <c r="B58" t="s">
        <v>372</v>
      </c>
      <c r="C58" t="s">
        <v>192</v>
      </c>
      <c r="D58" t="s">
        <v>373</v>
      </c>
      <c r="E58" t="s">
        <v>374</v>
      </c>
      <c r="F58" t="s">
        <v>196</v>
      </c>
      <c r="G58" t="s">
        <v>196</v>
      </c>
      <c r="H58" t="s">
        <v>27</v>
      </c>
      <c r="I58" t="s">
        <v>27</v>
      </c>
      <c r="J58" t="s">
        <v>27</v>
      </c>
      <c r="K58" t="s">
        <v>27</v>
      </c>
      <c r="L58" t="s">
        <v>27</v>
      </c>
      <c r="M58" t="s">
        <v>27</v>
      </c>
      <c r="N58" s="2">
        <f ca="1">DATE(2025,ROUNDUP(ROW(A59)*12/118,0),RANDBETWEEN(1,28))</f>
        <v>45812</v>
      </c>
      <c r="O58" s="2">
        <f ca="1">DATE(2027,ROUNDUP(ROW(A59)*12/118,0),RANDBETWEEN(1,28))</f>
        <v>46554</v>
      </c>
      <c r="P58" s="2">
        <f ca="1">DATE(2025,ROUNDUP(ROW(A59)*12/118,0),RANDBETWEEN(1,28))</f>
        <v>45812</v>
      </c>
      <c r="Q58" s="2">
        <f t="shared" ca="1" si="1"/>
        <v>46539</v>
      </c>
      <c r="R58" s="2">
        <f ca="1">Activity_OMEGA_AUG23[[#This Row],[Actual Start]]</f>
        <v>45812</v>
      </c>
      <c r="S58" s="2">
        <f t="shared" ca="1" si="2"/>
        <v>46585</v>
      </c>
    </row>
    <row r="59" spans="1:19" x14ac:dyDescent="0.3">
      <c r="A59" t="s">
        <v>19</v>
      </c>
      <c r="B59" t="s">
        <v>278</v>
      </c>
      <c r="C59" t="s">
        <v>21</v>
      </c>
      <c r="D59" t="s">
        <v>279</v>
      </c>
      <c r="E59" t="s">
        <v>280</v>
      </c>
      <c r="F59" t="s">
        <v>161</v>
      </c>
      <c r="G59" t="s">
        <v>40</v>
      </c>
      <c r="H59" t="s">
        <v>26</v>
      </c>
      <c r="I59" t="s">
        <v>26</v>
      </c>
      <c r="J59" t="s">
        <v>162</v>
      </c>
      <c r="K59" t="s">
        <v>162</v>
      </c>
      <c r="L59" t="s">
        <v>162</v>
      </c>
      <c r="M59" t="s">
        <v>163</v>
      </c>
      <c r="N59" s="2">
        <f ca="1">DATE(2025,ROUNDUP(ROW(A60)*12/118,0),RANDBETWEEN(1,28))</f>
        <v>45852</v>
      </c>
      <c r="O59" s="2">
        <f ca="1">DATE(2027,ROUNDUP(ROW(A60)*12/118,0),RANDBETWEEN(1,28))</f>
        <v>46579</v>
      </c>
      <c r="P59" s="2">
        <f ca="1">DATE(2025,ROUNDUP(ROW(A60)*12/118,0),RANDBETWEEN(1,28))</f>
        <v>45857</v>
      </c>
      <c r="Q59" s="2">
        <f t="shared" ca="1" si="1"/>
        <v>46585</v>
      </c>
      <c r="R59" s="2">
        <f ca="1">Activity_OMEGA_AUG23[[#This Row],[Actual Start]]</f>
        <v>45857</v>
      </c>
      <c r="S59" s="2">
        <f t="shared" ca="1" si="2"/>
        <v>46571</v>
      </c>
    </row>
    <row r="60" spans="1:19" x14ac:dyDescent="0.3">
      <c r="A60" t="s">
        <v>19</v>
      </c>
      <c r="B60" t="s">
        <v>120</v>
      </c>
      <c r="C60" t="s">
        <v>21</v>
      </c>
      <c r="D60" t="s">
        <v>121</v>
      </c>
      <c r="E60" t="s">
        <v>122</v>
      </c>
      <c r="F60" t="s">
        <v>24</v>
      </c>
      <c r="G60" t="s">
        <v>61</v>
      </c>
      <c r="H60" t="s">
        <v>26</v>
      </c>
      <c r="I60" t="s">
        <v>26</v>
      </c>
      <c r="J60" t="s">
        <v>27</v>
      </c>
      <c r="K60" t="s">
        <v>27</v>
      </c>
      <c r="L60" t="s">
        <v>27</v>
      </c>
      <c r="M60" t="s">
        <v>41</v>
      </c>
      <c r="N60" s="2">
        <f ca="1">DATE(2025,ROUNDUP(ROW(A61)*12/118,0),RANDBETWEEN(1,28))</f>
        <v>45850</v>
      </c>
      <c r="O60" s="2">
        <f ca="1">DATE(2027,ROUNDUP(ROW(A61)*12/118,0),RANDBETWEEN(1,28))</f>
        <v>46577</v>
      </c>
      <c r="P60" s="2">
        <f ca="1">DATE(2025,ROUNDUP(ROW(A61)*12/118,0),RANDBETWEEN(1,28))</f>
        <v>45855</v>
      </c>
      <c r="Q60" s="2">
        <f t="shared" ca="1" si="1"/>
        <v>46571</v>
      </c>
      <c r="R60" s="2">
        <f ca="1">Activity_OMEGA_AUG23[[#This Row],[Actual Start]]</f>
        <v>45855</v>
      </c>
      <c r="S60" s="2">
        <f t="shared" ca="1" si="2"/>
        <v>46575</v>
      </c>
    </row>
    <row r="61" spans="1:19" x14ac:dyDescent="0.3">
      <c r="A61" t="s">
        <v>19</v>
      </c>
      <c r="B61" t="s">
        <v>123</v>
      </c>
      <c r="C61" t="s">
        <v>21</v>
      </c>
      <c r="D61" t="s">
        <v>121</v>
      </c>
      <c r="E61" t="s">
        <v>124</v>
      </c>
      <c r="F61" t="s">
        <v>24</v>
      </c>
      <c r="G61" t="s">
        <v>64</v>
      </c>
      <c r="H61" t="s">
        <v>26</v>
      </c>
      <c r="I61" t="s">
        <v>26</v>
      </c>
      <c r="J61" t="s">
        <v>27</v>
      </c>
      <c r="K61" t="s">
        <v>27</v>
      </c>
      <c r="L61" t="s">
        <v>27</v>
      </c>
      <c r="M61" t="s">
        <v>41</v>
      </c>
      <c r="N61" s="2">
        <f ca="1">DATE(2025,ROUNDUP(ROW(A62)*12/118,0),RANDBETWEEN(1,28))</f>
        <v>45841</v>
      </c>
      <c r="O61" s="2">
        <f ca="1">DATE(2027,ROUNDUP(ROW(A62)*12/118,0),RANDBETWEEN(1,28))</f>
        <v>46579</v>
      </c>
      <c r="P61" s="2">
        <f ca="1">DATE(2025,ROUNDUP(ROW(A62)*12/118,0),RANDBETWEEN(1,28))</f>
        <v>45848</v>
      </c>
      <c r="Q61" s="2">
        <f t="shared" ca="1" si="1"/>
        <v>46575</v>
      </c>
      <c r="R61" s="2">
        <f ca="1">Activity_OMEGA_AUG23[[#This Row],[Actual Start]]</f>
        <v>45848</v>
      </c>
      <c r="S61" s="2">
        <f t="shared" ca="1" si="2"/>
        <v>46592</v>
      </c>
    </row>
    <row r="62" spans="1:19" x14ac:dyDescent="0.3">
      <c r="A62" t="s">
        <v>19</v>
      </c>
      <c r="B62" t="s">
        <v>144</v>
      </c>
      <c r="C62" t="s">
        <v>21</v>
      </c>
      <c r="D62" t="s">
        <v>126</v>
      </c>
      <c r="E62" t="s">
        <v>145</v>
      </c>
      <c r="F62" t="s">
        <v>128</v>
      </c>
      <c r="G62" t="s">
        <v>61</v>
      </c>
      <c r="H62" t="s">
        <v>26</v>
      </c>
      <c r="I62" t="s">
        <v>26</v>
      </c>
      <c r="J62" t="s">
        <v>146</v>
      </c>
      <c r="K62" t="s">
        <v>146</v>
      </c>
      <c r="L62" t="s">
        <v>146</v>
      </c>
      <c r="M62" t="s">
        <v>147</v>
      </c>
      <c r="N62" s="2">
        <f ca="1">DATE(2025,ROUNDUP(ROW(A63)*12/118,0),RANDBETWEEN(1,28))</f>
        <v>45852</v>
      </c>
      <c r="O62" s="2">
        <f ca="1">DATE(2027,ROUNDUP(ROW(A63)*12/118,0),RANDBETWEEN(1,28))</f>
        <v>46578</v>
      </c>
      <c r="P62" s="2">
        <f ca="1">DATE(2025,ROUNDUP(ROW(A63)*12/118,0),RANDBETWEEN(1,28))</f>
        <v>45842</v>
      </c>
      <c r="Q62" s="2">
        <f t="shared" ca="1" si="1"/>
        <v>46592</v>
      </c>
      <c r="R62" s="2">
        <f ca="1">Activity_OMEGA_AUG23[[#This Row],[Actual Start]]</f>
        <v>45842</v>
      </c>
      <c r="S62" s="2">
        <f t="shared" ca="1" si="2"/>
        <v>46573</v>
      </c>
    </row>
    <row r="63" spans="1:19" x14ac:dyDescent="0.3">
      <c r="A63" t="s">
        <v>19</v>
      </c>
      <c r="B63" t="s">
        <v>118</v>
      </c>
      <c r="C63" t="s">
        <v>21</v>
      </c>
      <c r="D63" t="s">
        <v>106</v>
      </c>
      <c r="E63" t="s">
        <v>119</v>
      </c>
      <c r="F63" t="s">
        <v>24</v>
      </c>
      <c r="G63" t="s">
        <v>40</v>
      </c>
      <c r="H63" t="s">
        <v>26</v>
      </c>
      <c r="I63" t="s">
        <v>26</v>
      </c>
      <c r="J63" t="s">
        <v>27</v>
      </c>
      <c r="K63" t="s">
        <v>27</v>
      </c>
      <c r="L63" t="s">
        <v>27</v>
      </c>
      <c r="M63" t="s">
        <v>57</v>
      </c>
      <c r="N63" s="2">
        <f ca="1">DATE(2025,ROUNDUP(ROW(A64)*12/118,0),RANDBETWEEN(1,28))</f>
        <v>45854</v>
      </c>
      <c r="O63" s="2">
        <f ca="1">DATE(2027,ROUNDUP(ROW(A64)*12/118,0),RANDBETWEEN(1,28))</f>
        <v>46569</v>
      </c>
      <c r="P63" s="2">
        <f ca="1">DATE(2025,ROUNDUP(ROW(A64)*12/118,0),RANDBETWEEN(1,28))</f>
        <v>45852</v>
      </c>
      <c r="Q63" s="2">
        <f t="shared" ca="1" si="1"/>
        <v>46573</v>
      </c>
      <c r="R63" s="2">
        <f ca="1">Activity_OMEGA_AUG23[[#This Row],[Actual Start]]</f>
        <v>45852</v>
      </c>
      <c r="S63" s="2">
        <f t="shared" ca="1" si="2"/>
        <v>46572</v>
      </c>
    </row>
    <row r="64" spans="1:19" x14ac:dyDescent="0.3">
      <c r="A64" t="s">
        <v>19</v>
      </c>
      <c r="B64" t="s">
        <v>285</v>
      </c>
      <c r="C64" t="s">
        <v>21</v>
      </c>
      <c r="D64" t="s">
        <v>279</v>
      </c>
      <c r="E64" t="s">
        <v>286</v>
      </c>
      <c r="F64" t="s">
        <v>161</v>
      </c>
      <c r="G64" t="s">
        <v>40</v>
      </c>
      <c r="H64" t="s">
        <v>26</v>
      </c>
      <c r="I64" t="s">
        <v>26</v>
      </c>
      <c r="J64" t="s">
        <v>173</v>
      </c>
      <c r="K64" t="s">
        <v>173</v>
      </c>
      <c r="L64" t="s">
        <v>173</v>
      </c>
      <c r="M64" t="s">
        <v>174</v>
      </c>
      <c r="N64" s="2">
        <f ca="1">DATE(2025,ROUNDUP(ROW(A65)*12/118,0),RANDBETWEEN(1,28))</f>
        <v>45847</v>
      </c>
      <c r="O64" s="2">
        <f ca="1">DATE(2027,ROUNDUP(ROW(A65)*12/118,0),RANDBETWEEN(1,28))</f>
        <v>46586</v>
      </c>
      <c r="P64" s="2">
        <f ca="1">DATE(2025,ROUNDUP(ROW(A65)*12/118,0),RANDBETWEEN(1,28))</f>
        <v>45859</v>
      </c>
      <c r="Q64" s="2">
        <f t="shared" ca="1" si="1"/>
        <v>46572</v>
      </c>
      <c r="R64" s="2">
        <f ca="1">Activity_OMEGA_AUG23[[#This Row],[Actual Start]]</f>
        <v>45859</v>
      </c>
      <c r="S64" s="2">
        <f t="shared" ca="1" si="2"/>
        <v>46588</v>
      </c>
    </row>
    <row r="65" spans="1:19" x14ac:dyDescent="0.3">
      <c r="A65" t="s">
        <v>19</v>
      </c>
      <c r="B65" t="s">
        <v>138</v>
      </c>
      <c r="C65" t="s">
        <v>21</v>
      </c>
      <c r="D65" t="s">
        <v>126</v>
      </c>
      <c r="E65" t="s">
        <v>139</v>
      </c>
      <c r="F65" t="s">
        <v>128</v>
      </c>
      <c r="G65" t="s">
        <v>31</v>
      </c>
      <c r="H65" t="s">
        <v>26</v>
      </c>
      <c r="I65" t="s">
        <v>26</v>
      </c>
      <c r="J65" t="s">
        <v>140</v>
      </c>
      <c r="K65" t="s">
        <v>140</v>
      </c>
      <c r="L65" t="s">
        <v>140</v>
      </c>
      <c r="M65" t="s">
        <v>137</v>
      </c>
      <c r="N65" s="2">
        <f ca="1">DATE(2025,ROUNDUP(ROW(A66)*12/118,0),RANDBETWEEN(1,28))</f>
        <v>45848</v>
      </c>
      <c r="O65" s="2">
        <f ca="1">DATE(2027,ROUNDUP(ROW(A66)*12/118,0),RANDBETWEEN(1,28))</f>
        <v>46569</v>
      </c>
      <c r="P65" s="2">
        <f ca="1">DATE(2025,ROUNDUP(ROW(A66)*12/118,0),RANDBETWEEN(1,28))</f>
        <v>45851</v>
      </c>
      <c r="Q65" s="2">
        <f t="shared" ca="1" si="1"/>
        <v>46588</v>
      </c>
      <c r="R65" s="2">
        <f ca="1">Activity_OMEGA_AUG23[[#This Row],[Actual Start]]</f>
        <v>45851</v>
      </c>
      <c r="S65" s="2">
        <f t="shared" ca="1" si="2"/>
        <v>46592</v>
      </c>
    </row>
    <row r="66" spans="1:19" x14ac:dyDescent="0.3">
      <c r="A66" t="s">
        <v>19</v>
      </c>
      <c r="B66" t="s">
        <v>273</v>
      </c>
      <c r="C66" t="s">
        <v>192</v>
      </c>
      <c r="D66" t="s">
        <v>271</v>
      </c>
      <c r="E66" t="s">
        <v>274</v>
      </c>
      <c r="F66" t="s">
        <v>161</v>
      </c>
      <c r="G66" t="s">
        <v>64</v>
      </c>
      <c r="H66" t="s">
        <v>27</v>
      </c>
      <c r="I66" t="s">
        <v>27</v>
      </c>
      <c r="J66" t="s">
        <v>204</v>
      </c>
      <c r="K66" t="s">
        <v>27</v>
      </c>
      <c r="L66" t="s">
        <v>27</v>
      </c>
      <c r="M66" t="s">
        <v>36</v>
      </c>
      <c r="N66" s="2">
        <f ca="1">DATE(2025,ROUNDUP(ROW(A67)*12/118,0),RANDBETWEEN(1,28))</f>
        <v>45841</v>
      </c>
      <c r="O66" s="2">
        <f ca="1">DATE(2027,ROUNDUP(ROW(A67)*12/118,0),RANDBETWEEN(1,28))</f>
        <v>46588</v>
      </c>
      <c r="P66" s="2">
        <f ca="1">DATE(2025,ROUNDUP(ROW(A67)*12/118,0),RANDBETWEEN(1,28))</f>
        <v>45864</v>
      </c>
      <c r="Q66" s="2">
        <f t="shared" ca="1" si="1"/>
        <v>46592</v>
      </c>
      <c r="R66" s="2">
        <f ca="1">Activity_OMEGA_AUG23[[#This Row],[Actual Start]]</f>
        <v>45864</v>
      </c>
      <c r="S66" s="2">
        <f t="shared" ref="S66:S97" ca="1" si="3">Q67</f>
        <v>46594</v>
      </c>
    </row>
    <row r="67" spans="1:19" x14ac:dyDescent="0.3">
      <c r="A67" t="s">
        <v>19</v>
      </c>
      <c r="B67" t="s">
        <v>164</v>
      </c>
      <c r="C67" t="s">
        <v>21</v>
      </c>
      <c r="D67" t="s">
        <v>159</v>
      </c>
      <c r="E67" t="s">
        <v>165</v>
      </c>
      <c r="F67" t="s">
        <v>161</v>
      </c>
      <c r="G67" t="s">
        <v>40</v>
      </c>
      <c r="H67" t="s">
        <v>26</v>
      </c>
      <c r="I67" t="s">
        <v>26</v>
      </c>
      <c r="J67" t="s">
        <v>166</v>
      </c>
      <c r="K67" t="s">
        <v>166</v>
      </c>
      <c r="L67" t="s">
        <v>166</v>
      </c>
      <c r="M67" t="s">
        <v>36</v>
      </c>
      <c r="N67" s="2">
        <f ca="1">DATE(2025,ROUNDUP(ROW(A68)*12/118,0),RANDBETWEEN(1,28))</f>
        <v>45843</v>
      </c>
      <c r="O67" s="2">
        <f ca="1">DATE(2027,ROUNDUP(ROW(A68)*12/118,0),RANDBETWEEN(1,28))</f>
        <v>46591</v>
      </c>
      <c r="P67" s="2">
        <f ca="1">DATE(2025,ROUNDUP(ROW(A68)*12/118,0),RANDBETWEEN(1,28))</f>
        <v>45850</v>
      </c>
      <c r="Q67" s="2">
        <f t="shared" ref="Q67:Q119" ca="1" si="4">DATE(2027,ROUNDUP(ROW(A68)*12/118,0),RANDBETWEEN(1,28))</f>
        <v>46594</v>
      </c>
      <c r="R67" s="2">
        <f ca="1">Activity_OMEGA_AUG23[[#This Row],[Actual Start]]</f>
        <v>45850</v>
      </c>
      <c r="S67" s="2">
        <f t="shared" ca="1" si="3"/>
        <v>46611</v>
      </c>
    </row>
    <row r="68" spans="1:19" x14ac:dyDescent="0.3">
      <c r="A68" t="s">
        <v>19</v>
      </c>
      <c r="B68" t="s">
        <v>80</v>
      </c>
      <c r="C68" t="s">
        <v>21</v>
      </c>
      <c r="D68" t="s">
        <v>81</v>
      </c>
      <c r="E68" t="s">
        <v>82</v>
      </c>
      <c r="F68" t="s">
        <v>24</v>
      </c>
      <c r="G68" t="s">
        <v>61</v>
      </c>
      <c r="H68" t="s">
        <v>26</v>
      </c>
      <c r="I68" t="s">
        <v>26</v>
      </c>
      <c r="J68" t="s">
        <v>27</v>
      </c>
      <c r="K68" t="s">
        <v>27</v>
      </c>
      <c r="L68" t="s">
        <v>27</v>
      </c>
      <c r="M68" t="s">
        <v>41</v>
      </c>
      <c r="N68" s="2">
        <f ca="1">DATE(2025,ROUNDUP(ROW(A69)*12/118,0),RANDBETWEEN(1,28))</f>
        <v>45881</v>
      </c>
      <c r="O68" s="2">
        <f ca="1">DATE(2027,ROUNDUP(ROW(A69)*12/118,0),RANDBETWEEN(1,28))</f>
        <v>46604</v>
      </c>
      <c r="P68" s="2">
        <f ca="1">DATE(2025,ROUNDUP(ROW(A69)*12/118,0),RANDBETWEEN(1,28))</f>
        <v>45888</v>
      </c>
      <c r="Q68" s="2">
        <f t="shared" ca="1" si="4"/>
        <v>46611</v>
      </c>
      <c r="R68" s="2">
        <f ca="1">Activity_OMEGA_AUG23[[#This Row],[Actual Start]]</f>
        <v>45888</v>
      </c>
      <c r="S68" s="2">
        <f t="shared" ca="1" si="3"/>
        <v>46617</v>
      </c>
    </row>
    <row r="69" spans="1:19" x14ac:dyDescent="0.3">
      <c r="A69" t="s">
        <v>19</v>
      </c>
      <c r="B69" t="s">
        <v>29</v>
      </c>
      <c r="C69" t="s">
        <v>21</v>
      </c>
      <c r="D69" t="s">
        <v>22</v>
      </c>
      <c r="E69" t="s">
        <v>30</v>
      </c>
      <c r="F69" t="s">
        <v>24</v>
      </c>
      <c r="G69" t="s">
        <v>31</v>
      </c>
      <c r="H69" t="s">
        <v>26</v>
      </c>
      <c r="I69" t="s">
        <v>26</v>
      </c>
      <c r="J69" t="s">
        <v>27</v>
      </c>
      <c r="K69" t="s">
        <v>27</v>
      </c>
      <c r="L69" t="s">
        <v>27</v>
      </c>
      <c r="M69" t="s">
        <v>32</v>
      </c>
      <c r="N69" s="2">
        <f ca="1">DATE(2025,ROUNDUP(ROW(A70)*12/118,0),RANDBETWEEN(1,28))</f>
        <v>45876</v>
      </c>
      <c r="O69" s="2">
        <f ca="1">DATE(2027,ROUNDUP(ROW(A70)*12/118,0),RANDBETWEEN(1,28))</f>
        <v>46613</v>
      </c>
      <c r="P69" s="2">
        <f ca="1">DATE(2025,ROUNDUP(ROW(A70)*12/118,0),RANDBETWEEN(1,28))</f>
        <v>45878</v>
      </c>
      <c r="Q69" s="2">
        <f t="shared" ca="1" si="4"/>
        <v>46617</v>
      </c>
      <c r="R69" s="2">
        <f ca="1">Activity_OMEGA_AUG23[[#This Row],[Actual Start]]</f>
        <v>45878</v>
      </c>
      <c r="S69" s="2">
        <f t="shared" ca="1" si="3"/>
        <v>46608</v>
      </c>
    </row>
    <row r="70" spans="1:19" x14ac:dyDescent="0.3">
      <c r="A70" t="s">
        <v>19</v>
      </c>
      <c r="B70" t="s">
        <v>205</v>
      </c>
      <c r="C70" t="s">
        <v>192</v>
      </c>
      <c r="D70" t="s">
        <v>206</v>
      </c>
      <c r="E70" t="s">
        <v>207</v>
      </c>
      <c r="F70" t="s">
        <v>161</v>
      </c>
      <c r="G70" t="s">
        <v>35</v>
      </c>
      <c r="H70" t="s">
        <v>27</v>
      </c>
      <c r="I70" t="s">
        <v>208</v>
      </c>
      <c r="J70" t="s">
        <v>209</v>
      </c>
      <c r="K70" t="s">
        <v>27</v>
      </c>
      <c r="L70" t="s">
        <v>210</v>
      </c>
      <c r="M70" t="s">
        <v>211</v>
      </c>
      <c r="N70" s="2">
        <f ca="1">DATE(2025,ROUNDUP(ROW(A71)*12/118,0),RANDBETWEEN(1,28))</f>
        <v>45897</v>
      </c>
      <c r="O70" s="2">
        <f ca="1">DATE(2027,ROUNDUP(ROW(A71)*12/118,0),RANDBETWEEN(1,28))</f>
        <v>46627</v>
      </c>
      <c r="P70" s="2">
        <f ca="1">DATE(2025,ROUNDUP(ROW(A71)*12/118,0),RANDBETWEEN(1,28))</f>
        <v>45877</v>
      </c>
      <c r="Q70" s="2">
        <f t="shared" ca="1" si="4"/>
        <v>46608</v>
      </c>
      <c r="R70" s="2">
        <f ca="1">Activity_OMEGA_AUG23[[#This Row],[Actual Start]]</f>
        <v>45877</v>
      </c>
      <c r="S70" s="2">
        <f t="shared" ca="1" si="3"/>
        <v>46612</v>
      </c>
    </row>
    <row r="71" spans="1:19" x14ac:dyDescent="0.3">
      <c r="A71" t="s">
        <v>19</v>
      </c>
      <c r="B71" t="s">
        <v>155</v>
      </c>
      <c r="C71" t="s">
        <v>21</v>
      </c>
      <c r="D71" t="s">
        <v>126</v>
      </c>
      <c r="E71" t="s">
        <v>156</v>
      </c>
      <c r="F71" t="s">
        <v>128</v>
      </c>
      <c r="G71" t="s">
        <v>35</v>
      </c>
      <c r="H71" t="s">
        <v>26</v>
      </c>
      <c r="I71" t="s">
        <v>26</v>
      </c>
      <c r="J71" t="s">
        <v>157</v>
      </c>
      <c r="K71" t="s">
        <v>157</v>
      </c>
      <c r="L71" t="s">
        <v>157</v>
      </c>
      <c r="M71" t="s">
        <v>137</v>
      </c>
      <c r="N71" s="2">
        <f ca="1">DATE(2025,ROUNDUP(ROW(A72)*12/118,0),RANDBETWEEN(1,28))</f>
        <v>45873</v>
      </c>
      <c r="O71" s="2">
        <f ca="1">DATE(2027,ROUNDUP(ROW(A72)*12/118,0),RANDBETWEEN(1,28))</f>
        <v>46612</v>
      </c>
      <c r="P71" s="2">
        <f ca="1">DATE(2025,ROUNDUP(ROW(A72)*12/118,0),RANDBETWEEN(1,28))</f>
        <v>45876</v>
      </c>
      <c r="Q71" s="2">
        <f t="shared" ca="1" si="4"/>
        <v>46612</v>
      </c>
      <c r="R71" s="2">
        <f ca="1">Activity_OMEGA_AUG23[[#This Row],[Actual Start]]</f>
        <v>45876</v>
      </c>
      <c r="S71" s="2">
        <f t="shared" ca="1" si="3"/>
        <v>46602</v>
      </c>
    </row>
    <row r="72" spans="1:19" x14ac:dyDescent="0.3">
      <c r="A72" t="s">
        <v>19</v>
      </c>
      <c r="B72" t="s">
        <v>141</v>
      </c>
      <c r="C72" t="s">
        <v>21</v>
      </c>
      <c r="D72" t="s">
        <v>126</v>
      </c>
      <c r="E72" t="s">
        <v>142</v>
      </c>
      <c r="F72" t="s">
        <v>128</v>
      </c>
      <c r="G72" t="s">
        <v>31</v>
      </c>
      <c r="H72" t="s">
        <v>26</v>
      </c>
      <c r="I72" t="s">
        <v>26</v>
      </c>
      <c r="J72" t="s">
        <v>143</v>
      </c>
      <c r="K72" t="s">
        <v>143</v>
      </c>
      <c r="L72" t="s">
        <v>143</v>
      </c>
      <c r="M72" t="s">
        <v>130</v>
      </c>
      <c r="N72" s="2">
        <f ca="1">DATE(2025,ROUNDUP(ROW(A73)*12/118,0),RANDBETWEEN(1,28))</f>
        <v>45884</v>
      </c>
      <c r="O72" s="2">
        <f ca="1">DATE(2027,ROUNDUP(ROW(A73)*12/118,0),RANDBETWEEN(1,28))</f>
        <v>46612</v>
      </c>
      <c r="P72" s="2">
        <f ca="1">DATE(2025,ROUNDUP(ROW(A73)*12/118,0),RANDBETWEEN(1,28))</f>
        <v>45894</v>
      </c>
      <c r="Q72" s="2">
        <f t="shared" ca="1" si="4"/>
        <v>46602</v>
      </c>
      <c r="R72" s="2">
        <f ca="1">Activity_OMEGA_AUG23[[#This Row],[Actual Start]]</f>
        <v>45894</v>
      </c>
      <c r="S72" s="2">
        <f t="shared" ca="1" si="3"/>
        <v>46609</v>
      </c>
    </row>
    <row r="73" spans="1:19" x14ac:dyDescent="0.3">
      <c r="A73" t="s">
        <v>19</v>
      </c>
      <c r="B73" t="s">
        <v>248</v>
      </c>
      <c r="C73" t="s">
        <v>21</v>
      </c>
      <c r="D73" t="s">
        <v>246</v>
      </c>
      <c r="E73" t="s">
        <v>249</v>
      </c>
      <c r="F73" t="s">
        <v>161</v>
      </c>
      <c r="G73" t="s">
        <v>40</v>
      </c>
      <c r="H73" t="s">
        <v>26</v>
      </c>
      <c r="I73" t="s">
        <v>26</v>
      </c>
      <c r="J73" t="s">
        <v>166</v>
      </c>
      <c r="K73" t="s">
        <v>166</v>
      </c>
      <c r="L73" t="s">
        <v>166</v>
      </c>
      <c r="M73" t="s">
        <v>36</v>
      </c>
      <c r="N73" s="2">
        <f ca="1">DATE(2025,ROUNDUP(ROW(A74)*12/118,0),RANDBETWEEN(1,28))</f>
        <v>45891</v>
      </c>
      <c r="O73" s="2">
        <f ca="1">DATE(2027,ROUNDUP(ROW(A74)*12/118,0),RANDBETWEEN(1,28))</f>
        <v>46617</v>
      </c>
      <c r="P73" s="2">
        <f ca="1">DATE(2025,ROUNDUP(ROW(A74)*12/118,0),RANDBETWEEN(1,28))</f>
        <v>45878</v>
      </c>
      <c r="Q73" s="2">
        <f t="shared" ca="1" si="4"/>
        <v>46609</v>
      </c>
      <c r="R73" s="2">
        <f ca="1">Activity_OMEGA_AUG23[[#This Row],[Actual Start]]</f>
        <v>45878</v>
      </c>
      <c r="S73" s="2">
        <f t="shared" ca="1" si="3"/>
        <v>46604</v>
      </c>
    </row>
    <row r="74" spans="1:19" x14ac:dyDescent="0.3">
      <c r="A74" t="s">
        <v>19</v>
      </c>
      <c r="B74" t="s">
        <v>350</v>
      </c>
      <c r="C74" t="s">
        <v>192</v>
      </c>
      <c r="D74" t="s">
        <v>351</v>
      </c>
      <c r="E74" t="s">
        <v>352</v>
      </c>
      <c r="F74" t="s">
        <v>312</v>
      </c>
      <c r="G74" t="s">
        <v>35</v>
      </c>
      <c r="H74" t="s">
        <v>27</v>
      </c>
      <c r="I74" t="s">
        <v>27</v>
      </c>
      <c r="J74" t="s">
        <v>27</v>
      </c>
      <c r="K74" t="s">
        <v>27</v>
      </c>
      <c r="L74" t="s">
        <v>27</v>
      </c>
      <c r="M74" t="s">
        <v>52</v>
      </c>
      <c r="N74" s="2">
        <f ca="1">DATE(2025,ROUNDUP(ROW(A75)*12/118,0),RANDBETWEEN(1,28))</f>
        <v>45883</v>
      </c>
      <c r="O74" s="2">
        <f ca="1">DATE(2027,ROUNDUP(ROW(A75)*12/118,0),RANDBETWEEN(1,28))</f>
        <v>46606</v>
      </c>
      <c r="P74" s="2">
        <f ca="1">DATE(2025,ROUNDUP(ROW(A75)*12/118,0),RANDBETWEEN(1,28))</f>
        <v>45878</v>
      </c>
      <c r="Q74" s="2">
        <f t="shared" ca="1" si="4"/>
        <v>46604</v>
      </c>
      <c r="R74" s="2">
        <f ca="1">Activity_OMEGA_AUG23[[#This Row],[Actual Start]]</f>
        <v>45878</v>
      </c>
      <c r="S74" s="2">
        <f t="shared" ca="1" si="3"/>
        <v>46622</v>
      </c>
    </row>
    <row r="75" spans="1:19" x14ac:dyDescent="0.3">
      <c r="A75" t="s">
        <v>19</v>
      </c>
      <c r="B75" t="s">
        <v>62</v>
      </c>
      <c r="C75" t="s">
        <v>21</v>
      </c>
      <c r="D75" t="s">
        <v>59</v>
      </c>
      <c r="E75" t="s">
        <v>63</v>
      </c>
      <c r="F75" t="s">
        <v>24</v>
      </c>
      <c r="G75" t="s">
        <v>64</v>
      </c>
      <c r="H75" t="s">
        <v>26</v>
      </c>
      <c r="I75" t="s">
        <v>26</v>
      </c>
      <c r="J75" t="s">
        <v>27</v>
      </c>
      <c r="K75" t="s">
        <v>27</v>
      </c>
      <c r="L75" t="s">
        <v>27</v>
      </c>
      <c r="M75" t="s">
        <v>41</v>
      </c>
      <c r="N75" s="2">
        <f ca="1">DATE(2025,ROUNDUP(ROW(A76)*12/118,0),RANDBETWEEN(1,28))</f>
        <v>45883</v>
      </c>
      <c r="O75" s="2">
        <f ca="1">DATE(2027,ROUNDUP(ROW(A76)*12/118,0),RANDBETWEEN(1,28))</f>
        <v>46608</v>
      </c>
      <c r="P75" s="2">
        <f ca="1">DATE(2025,ROUNDUP(ROW(A76)*12/118,0),RANDBETWEEN(1,28))</f>
        <v>45871</v>
      </c>
      <c r="Q75" s="2">
        <f t="shared" ca="1" si="4"/>
        <v>46622</v>
      </c>
      <c r="R75" s="2">
        <f ca="1">Activity_OMEGA_AUG23[[#This Row],[Actual Start]]</f>
        <v>45871</v>
      </c>
      <c r="S75" s="2">
        <f t="shared" ca="1" si="3"/>
        <v>46615</v>
      </c>
    </row>
    <row r="76" spans="1:19" x14ac:dyDescent="0.3">
      <c r="A76" t="s">
        <v>19</v>
      </c>
      <c r="B76" t="s">
        <v>134</v>
      </c>
      <c r="C76" t="s">
        <v>21</v>
      </c>
      <c r="D76" t="s">
        <v>126</v>
      </c>
      <c r="E76" t="s">
        <v>135</v>
      </c>
      <c r="F76" t="s">
        <v>128</v>
      </c>
      <c r="G76" t="s">
        <v>45</v>
      </c>
      <c r="H76" t="s">
        <v>26</v>
      </c>
      <c r="I76" t="s">
        <v>26</v>
      </c>
      <c r="J76" t="s">
        <v>136</v>
      </c>
      <c r="K76" t="s">
        <v>136</v>
      </c>
      <c r="L76" t="s">
        <v>136</v>
      </c>
      <c r="M76" t="s">
        <v>137</v>
      </c>
      <c r="N76" s="2">
        <f ca="1">DATE(2025,ROUNDUP(ROW(A77)*12/118,0),RANDBETWEEN(1,28))</f>
        <v>45880</v>
      </c>
      <c r="O76" s="2">
        <f ca="1">DATE(2027,ROUNDUP(ROW(A77)*12/118,0),RANDBETWEEN(1,28))</f>
        <v>46620</v>
      </c>
      <c r="P76" s="2">
        <f ca="1">DATE(2025,ROUNDUP(ROW(A77)*12/118,0),RANDBETWEEN(1,28))</f>
        <v>45882</v>
      </c>
      <c r="Q76" s="2">
        <f t="shared" ca="1" si="4"/>
        <v>46615</v>
      </c>
      <c r="R76" s="2">
        <f ca="1">Activity_OMEGA_AUG23[[#This Row],[Actual Start]]</f>
        <v>45882</v>
      </c>
      <c r="S76" s="2">
        <f t="shared" ca="1" si="3"/>
        <v>46619</v>
      </c>
    </row>
    <row r="77" spans="1:19" x14ac:dyDescent="0.3">
      <c r="A77" t="s">
        <v>19</v>
      </c>
      <c r="B77" t="s">
        <v>96</v>
      </c>
      <c r="C77" t="s">
        <v>21</v>
      </c>
      <c r="D77" t="s">
        <v>86</v>
      </c>
      <c r="E77" t="s">
        <v>97</v>
      </c>
      <c r="F77" t="s">
        <v>24</v>
      </c>
      <c r="G77" t="s">
        <v>40</v>
      </c>
      <c r="H77" t="s">
        <v>26</v>
      </c>
      <c r="I77" t="s">
        <v>26</v>
      </c>
      <c r="J77" t="s">
        <v>27</v>
      </c>
      <c r="K77" t="s">
        <v>27</v>
      </c>
      <c r="L77" t="s">
        <v>27</v>
      </c>
      <c r="M77" t="s">
        <v>32</v>
      </c>
      <c r="N77" s="2">
        <f ca="1">DATE(2025,ROUNDUP(ROW(A78)*12/118,0),RANDBETWEEN(1,28))</f>
        <v>45870</v>
      </c>
      <c r="O77" s="2">
        <f ca="1">DATE(2027,ROUNDUP(ROW(A78)*12/118,0),RANDBETWEEN(1,28))</f>
        <v>46601</v>
      </c>
      <c r="P77" s="2">
        <f ca="1">DATE(2025,ROUNDUP(ROW(A78)*12/118,0),RANDBETWEEN(1,28))</f>
        <v>45885</v>
      </c>
      <c r="Q77" s="2">
        <f t="shared" ca="1" si="4"/>
        <v>46619</v>
      </c>
      <c r="R77" s="2">
        <f ca="1">Activity_OMEGA_AUG23[[#This Row],[Actual Start]]</f>
        <v>45885</v>
      </c>
      <c r="S77" s="2">
        <f t="shared" ca="1" si="3"/>
        <v>46642</v>
      </c>
    </row>
    <row r="78" spans="1:19" x14ac:dyDescent="0.3">
      <c r="A78" t="s">
        <v>19</v>
      </c>
      <c r="B78" t="s">
        <v>103</v>
      </c>
      <c r="C78" t="s">
        <v>21</v>
      </c>
      <c r="D78" t="s">
        <v>101</v>
      </c>
      <c r="E78" t="s">
        <v>104</v>
      </c>
      <c r="F78" t="s">
        <v>24</v>
      </c>
      <c r="G78" t="s">
        <v>64</v>
      </c>
      <c r="H78" t="s">
        <v>26</v>
      </c>
      <c r="I78" t="s">
        <v>26</v>
      </c>
      <c r="J78" t="s">
        <v>27</v>
      </c>
      <c r="K78" t="s">
        <v>27</v>
      </c>
      <c r="L78" t="s">
        <v>27</v>
      </c>
      <c r="M78" t="s">
        <v>41</v>
      </c>
      <c r="N78" s="2">
        <f ca="1">DATE(2025,ROUNDUP(ROW(A79)*12/118,0),RANDBETWEEN(1,28))</f>
        <v>45908</v>
      </c>
      <c r="O78" s="2">
        <f ca="1">DATE(2027,ROUNDUP(ROW(A79)*12/118,0),RANDBETWEEN(1,28))</f>
        <v>46653</v>
      </c>
      <c r="P78" s="2">
        <f ca="1">DATE(2025,ROUNDUP(ROW(A79)*12/118,0),RANDBETWEEN(1,28))</f>
        <v>45908</v>
      </c>
      <c r="Q78" s="2">
        <f t="shared" ca="1" si="4"/>
        <v>46642</v>
      </c>
      <c r="R78" s="2">
        <f ca="1">Activity_OMEGA_AUG23[[#This Row],[Actual Start]]</f>
        <v>45908</v>
      </c>
      <c r="S78" s="2">
        <f t="shared" ca="1" si="3"/>
        <v>46647</v>
      </c>
    </row>
    <row r="79" spans="1:19" x14ac:dyDescent="0.3">
      <c r="A79" t="s">
        <v>19</v>
      </c>
      <c r="B79" t="s">
        <v>267</v>
      </c>
      <c r="C79" t="s">
        <v>192</v>
      </c>
      <c r="D79" t="s">
        <v>268</v>
      </c>
      <c r="E79" t="s">
        <v>269</v>
      </c>
      <c r="F79" t="s">
        <v>161</v>
      </c>
      <c r="G79" t="s">
        <v>31</v>
      </c>
      <c r="H79" t="s">
        <v>27</v>
      </c>
      <c r="I79" t="s">
        <v>27</v>
      </c>
      <c r="J79" t="s">
        <v>195</v>
      </c>
      <c r="K79" t="s">
        <v>27</v>
      </c>
      <c r="L79" t="s">
        <v>27</v>
      </c>
      <c r="M79" t="s">
        <v>182</v>
      </c>
      <c r="N79" s="2">
        <f ca="1">DATE(2025,ROUNDUP(ROW(A80)*12/118,0),RANDBETWEEN(1,28))</f>
        <v>45925</v>
      </c>
      <c r="O79" s="2">
        <f ca="1">DATE(2027,ROUNDUP(ROW(A80)*12/118,0),RANDBETWEEN(1,28))</f>
        <v>46647</v>
      </c>
      <c r="P79" s="2">
        <f ca="1">DATE(2025,ROUNDUP(ROW(A80)*12/118,0),RANDBETWEEN(1,28))</f>
        <v>45920</v>
      </c>
      <c r="Q79" s="2">
        <f t="shared" ca="1" si="4"/>
        <v>46647</v>
      </c>
      <c r="R79" s="2">
        <f ca="1">Activity_OMEGA_AUG23[[#This Row],[Actual Start]]</f>
        <v>45920</v>
      </c>
      <c r="S79" s="2">
        <f t="shared" ca="1" si="3"/>
        <v>46636</v>
      </c>
    </row>
    <row r="80" spans="1:19" x14ac:dyDescent="0.3">
      <c r="A80" t="s">
        <v>19</v>
      </c>
      <c r="B80" t="s">
        <v>191</v>
      </c>
      <c r="C80" t="s">
        <v>192</v>
      </c>
      <c r="D80" t="s">
        <v>193</v>
      </c>
      <c r="E80" t="s">
        <v>194</v>
      </c>
      <c r="F80" t="s">
        <v>161</v>
      </c>
      <c r="G80" t="s">
        <v>31</v>
      </c>
      <c r="H80" t="s">
        <v>27</v>
      </c>
      <c r="I80" t="s">
        <v>26</v>
      </c>
      <c r="J80" t="s">
        <v>195</v>
      </c>
      <c r="K80" t="s">
        <v>27</v>
      </c>
      <c r="L80" t="s">
        <v>195</v>
      </c>
      <c r="M80" t="s">
        <v>182</v>
      </c>
      <c r="N80" s="2">
        <f ca="1">DATE(2025,ROUNDUP(ROW(A81)*12/118,0),RANDBETWEEN(1,28))</f>
        <v>45924</v>
      </c>
      <c r="O80" s="2">
        <f ca="1">DATE(2027,ROUNDUP(ROW(A81)*12/118,0),RANDBETWEEN(1,28))</f>
        <v>46646</v>
      </c>
      <c r="P80" s="2">
        <f ca="1">DATE(2025,ROUNDUP(ROW(A81)*12/118,0),RANDBETWEEN(1,28))</f>
        <v>45906</v>
      </c>
      <c r="Q80" s="2">
        <f t="shared" ca="1" si="4"/>
        <v>46636</v>
      </c>
      <c r="R80" s="2">
        <f ca="1">Activity_OMEGA_AUG23[[#This Row],[Actual Start]]</f>
        <v>45906</v>
      </c>
      <c r="S80" s="2">
        <f t="shared" ca="1" si="3"/>
        <v>46645</v>
      </c>
    </row>
    <row r="81" spans="1:19" x14ac:dyDescent="0.3">
      <c r="A81" t="s">
        <v>19</v>
      </c>
      <c r="B81" t="s">
        <v>111</v>
      </c>
      <c r="C81" t="s">
        <v>21</v>
      </c>
      <c r="D81" t="s">
        <v>112</v>
      </c>
      <c r="E81" t="s">
        <v>113</v>
      </c>
      <c r="F81" t="s">
        <v>24</v>
      </c>
      <c r="G81" t="s">
        <v>31</v>
      </c>
      <c r="H81" t="s">
        <v>26</v>
      </c>
      <c r="I81" t="s">
        <v>26</v>
      </c>
      <c r="J81" t="s">
        <v>27</v>
      </c>
      <c r="K81" t="s">
        <v>27</v>
      </c>
      <c r="L81" t="s">
        <v>27</v>
      </c>
      <c r="M81" t="s">
        <v>49</v>
      </c>
      <c r="N81" s="2">
        <f ca="1">DATE(2025,ROUNDUP(ROW(A82)*12/118,0),RANDBETWEEN(1,28))</f>
        <v>45925</v>
      </c>
      <c r="O81" s="2">
        <f ca="1">DATE(2027,ROUNDUP(ROW(A82)*12/118,0),RANDBETWEEN(1,28))</f>
        <v>46631</v>
      </c>
      <c r="P81" s="2">
        <f ca="1">DATE(2025,ROUNDUP(ROW(A82)*12/118,0),RANDBETWEEN(1,28))</f>
        <v>45915</v>
      </c>
      <c r="Q81" s="2">
        <f t="shared" ca="1" si="4"/>
        <v>46645</v>
      </c>
      <c r="R81" s="2">
        <f ca="1">Activity_OMEGA_AUG23[[#This Row],[Actual Start]]</f>
        <v>45915</v>
      </c>
      <c r="S81" s="2">
        <f t="shared" ca="1" si="3"/>
        <v>46654</v>
      </c>
    </row>
    <row r="82" spans="1:19" x14ac:dyDescent="0.3">
      <c r="A82" t="s">
        <v>19</v>
      </c>
      <c r="B82" t="s">
        <v>55</v>
      </c>
      <c r="C82" t="s">
        <v>21</v>
      </c>
      <c r="D82" t="s">
        <v>38</v>
      </c>
      <c r="E82" t="s">
        <v>56</v>
      </c>
      <c r="F82" t="s">
        <v>24</v>
      </c>
      <c r="G82" t="s">
        <v>40</v>
      </c>
      <c r="H82" t="s">
        <v>26</v>
      </c>
      <c r="I82" t="s">
        <v>26</v>
      </c>
      <c r="J82" t="s">
        <v>27</v>
      </c>
      <c r="K82" t="s">
        <v>27</v>
      </c>
      <c r="L82" t="s">
        <v>27</v>
      </c>
      <c r="M82" t="s">
        <v>57</v>
      </c>
      <c r="N82" s="2">
        <f ca="1">DATE(2025,ROUNDUP(ROW(A83)*12/118,0),RANDBETWEEN(1,28))</f>
        <v>45905</v>
      </c>
      <c r="O82" s="2">
        <f ca="1">DATE(2027,ROUNDUP(ROW(A83)*12/118,0),RANDBETWEEN(1,28))</f>
        <v>46650</v>
      </c>
      <c r="P82" s="2">
        <f ca="1">DATE(2025,ROUNDUP(ROW(A83)*12/118,0),RANDBETWEEN(1,28))</f>
        <v>45918</v>
      </c>
      <c r="Q82" s="2">
        <f t="shared" ca="1" si="4"/>
        <v>46654</v>
      </c>
      <c r="R82" s="2">
        <f ca="1">Activity_OMEGA_AUG23[[#This Row],[Actual Start]]</f>
        <v>45918</v>
      </c>
      <c r="S82" s="2">
        <f t="shared" ca="1" si="3"/>
        <v>46640</v>
      </c>
    </row>
    <row r="83" spans="1:19" x14ac:dyDescent="0.3">
      <c r="A83" t="s">
        <v>19</v>
      </c>
      <c r="B83" t="s">
        <v>76</v>
      </c>
      <c r="C83" t="s">
        <v>21</v>
      </c>
      <c r="D83" t="s">
        <v>66</v>
      </c>
      <c r="E83" t="s">
        <v>77</v>
      </c>
      <c r="F83" t="s">
        <v>24</v>
      </c>
      <c r="G83" t="s">
        <v>40</v>
      </c>
      <c r="H83" t="s">
        <v>26</v>
      </c>
      <c r="I83" t="s">
        <v>26</v>
      </c>
      <c r="J83" t="s">
        <v>27</v>
      </c>
      <c r="K83" t="s">
        <v>27</v>
      </c>
      <c r="L83" t="s">
        <v>27</v>
      </c>
      <c r="M83" t="s">
        <v>32</v>
      </c>
      <c r="N83" s="2">
        <f ca="1">DATE(2025,ROUNDUP(ROW(A84)*12/118,0),RANDBETWEEN(1,28))</f>
        <v>45909</v>
      </c>
      <c r="O83" s="2">
        <f ca="1">DATE(2027,ROUNDUP(ROW(A84)*12/118,0),RANDBETWEEN(1,28))</f>
        <v>46653</v>
      </c>
      <c r="P83" s="2">
        <f ca="1">DATE(2025,ROUNDUP(ROW(A84)*12/118,0),RANDBETWEEN(1,28))</f>
        <v>45922</v>
      </c>
      <c r="Q83" s="2">
        <f t="shared" ca="1" si="4"/>
        <v>46640</v>
      </c>
      <c r="R83" s="2">
        <f ca="1">Activity_OMEGA_AUG23[[#This Row],[Actual Start]]</f>
        <v>45922</v>
      </c>
      <c r="S83" s="2">
        <f t="shared" ca="1" si="3"/>
        <v>46640</v>
      </c>
    </row>
    <row r="84" spans="1:19" x14ac:dyDescent="0.3">
      <c r="A84" t="s">
        <v>19</v>
      </c>
      <c r="B84" t="s">
        <v>235</v>
      </c>
      <c r="C84" t="s">
        <v>192</v>
      </c>
      <c r="D84" t="s">
        <v>236</v>
      </c>
      <c r="E84" t="s">
        <v>237</v>
      </c>
      <c r="F84" t="s">
        <v>161</v>
      </c>
      <c r="G84" t="s">
        <v>61</v>
      </c>
      <c r="H84" t="s">
        <v>27</v>
      </c>
      <c r="I84" t="s">
        <v>238</v>
      </c>
      <c r="J84" t="s">
        <v>200</v>
      </c>
      <c r="K84" t="s">
        <v>27</v>
      </c>
      <c r="L84" t="s">
        <v>239</v>
      </c>
      <c r="M84" t="s">
        <v>201</v>
      </c>
      <c r="N84" s="2">
        <f ca="1">DATE(2025,ROUNDUP(ROW(A85)*12/118,0),RANDBETWEEN(1,28))</f>
        <v>45921</v>
      </c>
      <c r="O84" s="2">
        <f ca="1">DATE(2027,ROUNDUP(ROW(A85)*12/118,0),RANDBETWEEN(1,28))</f>
        <v>46642</v>
      </c>
      <c r="P84" s="2">
        <f ca="1">DATE(2025,ROUNDUP(ROW(A85)*12/118,0),RANDBETWEEN(1,28))</f>
        <v>45914</v>
      </c>
      <c r="Q84" s="2">
        <f t="shared" ca="1" si="4"/>
        <v>46640</v>
      </c>
      <c r="R84" s="2">
        <f ca="1">Activity_OMEGA_AUG23[[#This Row],[Actual Start]]</f>
        <v>45914</v>
      </c>
      <c r="S84" s="2">
        <f t="shared" ca="1" si="3"/>
        <v>46653</v>
      </c>
    </row>
    <row r="85" spans="1:19" x14ac:dyDescent="0.3">
      <c r="A85" t="s">
        <v>19</v>
      </c>
      <c r="B85" t="s">
        <v>330</v>
      </c>
      <c r="C85" t="s">
        <v>192</v>
      </c>
      <c r="D85" t="s">
        <v>331</v>
      </c>
      <c r="E85" t="s">
        <v>332</v>
      </c>
      <c r="F85" t="s">
        <v>312</v>
      </c>
      <c r="G85" t="s">
        <v>61</v>
      </c>
      <c r="H85" t="s">
        <v>27</v>
      </c>
      <c r="I85" t="s">
        <v>27</v>
      </c>
      <c r="J85" t="s">
        <v>27</v>
      </c>
      <c r="K85" t="s">
        <v>27</v>
      </c>
      <c r="L85" t="s">
        <v>27</v>
      </c>
      <c r="M85" t="s">
        <v>52</v>
      </c>
      <c r="N85" s="2">
        <f ca="1">DATE(2025,ROUNDUP(ROW(A86)*12/118,0),RANDBETWEEN(1,28))</f>
        <v>45921</v>
      </c>
      <c r="O85" s="2">
        <f ca="1">DATE(2027,ROUNDUP(ROW(A86)*12/118,0),RANDBETWEEN(1,28))</f>
        <v>46650</v>
      </c>
      <c r="P85" s="2">
        <f ca="1">DATE(2025,ROUNDUP(ROW(A86)*12/118,0),RANDBETWEEN(1,28))</f>
        <v>45914</v>
      </c>
      <c r="Q85" s="2">
        <f t="shared" ca="1" si="4"/>
        <v>46653</v>
      </c>
      <c r="R85" s="2">
        <f ca="1">Activity_OMEGA_AUG23[[#This Row],[Actual Start]]</f>
        <v>45914</v>
      </c>
      <c r="S85" s="2">
        <f t="shared" ca="1" si="3"/>
        <v>46635</v>
      </c>
    </row>
    <row r="86" spans="1:19" x14ac:dyDescent="0.3">
      <c r="A86" t="s">
        <v>19</v>
      </c>
      <c r="B86" t="s">
        <v>281</v>
      </c>
      <c r="C86" t="s">
        <v>21</v>
      </c>
      <c r="D86" t="s">
        <v>279</v>
      </c>
      <c r="E86" t="s">
        <v>282</v>
      </c>
      <c r="F86" t="s">
        <v>161</v>
      </c>
      <c r="G86" t="s">
        <v>40</v>
      </c>
      <c r="H86" t="s">
        <v>26</v>
      </c>
      <c r="I86" t="s">
        <v>26</v>
      </c>
      <c r="J86" t="s">
        <v>166</v>
      </c>
      <c r="K86" t="s">
        <v>166</v>
      </c>
      <c r="L86" t="s">
        <v>166</v>
      </c>
      <c r="M86" t="s">
        <v>36</v>
      </c>
      <c r="N86" s="2">
        <f ca="1">DATE(2025,ROUNDUP(ROW(A87)*12/118,0),RANDBETWEEN(1,28))</f>
        <v>45909</v>
      </c>
      <c r="O86" s="2">
        <f ca="1">DATE(2027,ROUNDUP(ROW(A87)*12/118,0),RANDBETWEEN(1,28))</f>
        <v>46641</v>
      </c>
      <c r="P86" s="2">
        <f ca="1">DATE(2025,ROUNDUP(ROW(A87)*12/118,0),RANDBETWEEN(1,28))</f>
        <v>45911</v>
      </c>
      <c r="Q86" s="2">
        <f t="shared" ca="1" si="4"/>
        <v>46635</v>
      </c>
      <c r="R86" s="2">
        <f ca="1">Activity_OMEGA_AUG23[[#This Row],[Actual Start]]</f>
        <v>45911</v>
      </c>
      <c r="S86" s="2">
        <f t="shared" ca="1" si="3"/>
        <v>46650</v>
      </c>
    </row>
    <row r="87" spans="1:19" x14ac:dyDescent="0.3">
      <c r="A87" t="s">
        <v>19</v>
      </c>
      <c r="B87" t="s">
        <v>171</v>
      </c>
      <c r="C87" t="s">
        <v>21</v>
      </c>
      <c r="D87" t="s">
        <v>159</v>
      </c>
      <c r="E87" t="s">
        <v>172</v>
      </c>
      <c r="F87" t="s">
        <v>161</v>
      </c>
      <c r="G87" t="s">
        <v>40</v>
      </c>
      <c r="H87" t="s">
        <v>26</v>
      </c>
      <c r="I87" t="s">
        <v>26</v>
      </c>
      <c r="J87" t="s">
        <v>173</v>
      </c>
      <c r="K87" t="s">
        <v>173</v>
      </c>
      <c r="L87" t="s">
        <v>173</v>
      </c>
      <c r="M87" t="s">
        <v>174</v>
      </c>
      <c r="N87" s="2">
        <f ca="1">DATE(2025,ROUNDUP(ROW(A88)*12/118,0),RANDBETWEEN(1,28))</f>
        <v>45903</v>
      </c>
      <c r="O87" s="2">
        <f ca="1">DATE(2027,ROUNDUP(ROW(A88)*12/118,0),RANDBETWEEN(1,28))</f>
        <v>46648</v>
      </c>
      <c r="P87" s="2">
        <f ca="1">DATE(2025,ROUNDUP(ROW(A88)*12/118,0),RANDBETWEEN(1,28))</f>
        <v>45915</v>
      </c>
      <c r="Q87" s="2">
        <f t="shared" ca="1" si="4"/>
        <v>46650</v>
      </c>
      <c r="R87" s="2">
        <f ca="1">Activity_OMEGA_AUG23[[#This Row],[Actual Start]]</f>
        <v>45915</v>
      </c>
      <c r="S87" s="2">
        <f t="shared" ca="1" si="3"/>
        <v>46674</v>
      </c>
    </row>
    <row r="88" spans="1:19" x14ac:dyDescent="0.3">
      <c r="A88" t="s">
        <v>19</v>
      </c>
      <c r="B88" t="s">
        <v>245</v>
      </c>
      <c r="C88" t="s">
        <v>21</v>
      </c>
      <c r="D88" t="s">
        <v>246</v>
      </c>
      <c r="E88" t="s">
        <v>247</v>
      </c>
      <c r="F88" t="s">
        <v>161</v>
      </c>
      <c r="G88" t="s">
        <v>40</v>
      </c>
      <c r="H88" t="s">
        <v>26</v>
      </c>
      <c r="I88" t="s">
        <v>26</v>
      </c>
      <c r="J88" t="s">
        <v>162</v>
      </c>
      <c r="K88" t="s">
        <v>162</v>
      </c>
      <c r="L88" t="s">
        <v>162</v>
      </c>
      <c r="M88" t="s">
        <v>163</v>
      </c>
      <c r="N88" s="2">
        <f ca="1">DATE(2025,ROUNDUP(ROW(A89)*12/118,0),RANDBETWEEN(1,28))</f>
        <v>45943</v>
      </c>
      <c r="O88" s="2">
        <f ca="1">DATE(2027,ROUNDUP(ROW(A89)*12/118,0),RANDBETWEEN(1,28))</f>
        <v>46687</v>
      </c>
      <c r="P88" s="2">
        <f ca="1">DATE(2025,ROUNDUP(ROW(A89)*12/118,0),RANDBETWEEN(1,28))</f>
        <v>45943</v>
      </c>
      <c r="Q88" s="2">
        <f t="shared" ca="1" si="4"/>
        <v>46674</v>
      </c>
      <c r="R88" s="2">
        <f ca="1">Activity_OMEGA_AUG23[[#This Row],[Actual Start]]</f>
        <v>45943</v>
      </c>
      <c r="S88" s="2">
        <f t="shared" ca="1" si="3"/>
        <v>46664</v>
      </c>
    </row>
    <row r="89" spans="1:19" x14ac:dyDescent="0.3">
      <c r="A89" t="s">
        <v>19</v>
      </c>
      <c r="B89" t="s">
        <v>242</v>
      </c>
      <c r="C89" t="s">
        <v>192</v>
      </c>
      <c r="D89" t="s">
        <v>243</v>
      </c>
      <c r="E89" t="s">
        <v>244</v>
      </c>
      <c r="F89" t="s">
        <v>161</v>
      </c>
      <c r="G89" t="s">
        <v>35</v>
      </c>
      <c r="H89" t="s">
        <v>27</v>
      </c>
      <c r="I89" t="s">
        <v>27</v>
      </c>
      <c r="J89" t="s">
        <v>209</v>
      </c>
      <c r="K89" t="s">
        <v>27</v>
      </c>
      <c r="L89" t="s">
        <v>27</v>
      </c>
      <c r="M89" t="s">
        <v>211</v>
      </c>
      <c r="N89" s="2">
        <f ca="1">DATE(2025,ROUNDUP(ROW(A90)*12/118,0),RANDBETWEEN(1,28))</f>
        <v>45934</v>
      </c>
      <c r="O89" s="2">
        <f ca="1">DATE(2027,ROUNDUP(ROW(A90)*12/118,0),RANDBETWEEN(1,28))</f>
        <v>46670</v>
      </c>
      <c r="P89" s="2">
        <f ca="1">DATE(2025,ROUNDUP(ROW(A90)*12/118,0),RANDBETWEEN(1,28))</f>
        <v>45940</v>
      </c>
      <c r="Q89" s="2">
        <f t="shared" ca="1" si="4"/>
        <v>46664</v>
      </c>
      <c r="R89" s="2">
        <f ca="1">Activity_OMEGA_AUG23[[#This Row],[Actual Start]]</f>
        <v>45940</v>
      </c>
      <c r="S89" s="2">
        <f t="shared" ca="1" si="3"/>
        <v>46682</v>
      </c>
    </row>
    <row r="90" spans="1:19" x14ac:dyDescent="0.3">
      <c r="A90" t="s">
        <v>19</v>
      </c>
      <c r="B90" t="s">
        <v>356</v>
      </c>
      <c r="C90" t="s">
        <v>192</v>
      </c>
      <c r="D90" t="s">
        <v>357</v>
      </c>
      <c r="E90" t="s">
        <v>358</v>
      </c>
      <c r="F90" t="s">
        <v>312</v>
      </c>
      <c r="G90" t="s">
        <v>31</v>
      </c>
      <c r="H90" t="s">
        <v>27</v>
      </c>
      <c r="I90" t="s">
        <v>27</v>
      </c>
      <c r="J90" t="s">
        <v>27</v>
      </c>
      <c r="K90" t="s">
        <v>27</v>
      </c>
      <c r="L90" t="s">
        <v>27</v>
      </c>
      <c r="M90" t="s">
        <v>52</v>
      </c>
      <c r="N90" s="2">
        <f ca="1">DATE(2025,ROUNDUP(ROW(A91)*12/118,0),RANDBETWEEN(1,28))</f>
        <v>45956</v>
      </c>
      <c r="O90" s="2">
        <f ca="1">DATE(2027,ROUNDUP(ROW(A91)*12/118,0),RANDBETWEEN(1,28))</f>
        <v>46674</v>
      </c>
      <c r="P90" s="2">
        <f ca="1">DATE(2025,ROUNDUP(ROW(A91)*12/118,0),RANDBETWEEN(1,28))</f>
        <v>45958</v>
      </c>
      <c r="Q90" s="2">
        <f t="shared" ca="1" si="4"/>
        <v>46682</v>
      </c>
      <c r="R90" s="2">
        <f ca="1">Activity_OMEGA_AUG23[[#This Row],[Actual Start]]</f>
        <v>45958</v>
      </c>
      <c r="S90" s="2">
        <f t="shared" ca="1" si="3"/>
        <v>46674</v>
      </c>
    </row>
    <row r="91" spans="1:19" x14ac:dyDescent="0.3">
      <c r="A91" t="s">
        <v>19</v>
      </c>
      <c r="B91" t="s">
        <v>229</v>
      </c>
      <c r="C91" t="s">
        <v>21</v>
      </c>
      <c r="D91" t="s">
        <v>230</v>
      </c>
      <c r="E91" t="s">
        <v>231</v>
      </c>
      <c r="F91" t="s">
        <v>161</v>
      </c>
      <c r="G91" t="s">
        <v>45</v>
      </c>
      <c r="H91" t="s">
        <v>26</v>
      </c>
      <c r="I91" t="s">
        <v>26</v>
      </c>
      <c r="J91" t="s">
        <v>190</v>
      </c>
      <c r="K91" t="s">
        <v>190</v>
      </c>
      <c r="L91" t="s">
        <v>190</v>
      </c>
      <c r="M91" t="s">
        <v>147</v>
      </c>
      <c r="N91" s="2">
        <f ca="1">DATE(2025,ROUNDUP(ROW(A92)*12/118,0),RANDBETWEEN(1,28))</f>
        <v>45948</v>
      </c>
      <c r="O91" s="2">
        <f ca="1">DATE(2027,ROUNDUP(ROW(A92)*12/118,0),RANDBETWEEN(1,28))</f>
        <v>46671</v>
      </c>
      <c r="P91" s="2">
        <f ca="1">DATE(2025,ROUNDUP(ROW(A92)*12/118,0),RANDBETWEEN(1,28))</f>
        <v>45931</v>
      </c>
      <c r="Q91" s="2">
        <f t="shared" ca="1" si="4"/>
        <v>46674</v>
      </c>
      <c r="R91" s="2">
        <f ca="1">Activity_OMEGA_AUG23[[#This Row],[Actual Start]]</f>
        <v>45931</v>
      </c>
      <c r="S91" s="2">
        <f t="shared" ca="1" si="3"/>
        <v>46677</v>
      </c>
    </row>
    <row r="92" spans="1:19" x14ac:dyDescent="0.3">
      <c r="A92" t="s">
        <v>19</v>
      </c>
      <c r="B92" t="s">
        <v>240</v>
      </c>
      <c r="C92" t="s">
        <v>192</v>
      </c>
      <c r="D92" t="s">
        <v>236</v>
      </c>
      <c r="E92" t="s">
        <v>241</v>
      </c>
      <c r="F92" t="s">
        <v>161</v>
      </c>
      <c r="G92" t="s">
        <v>64</v>
      </c>
      <c r="H92" t="s">
        <v>27</v>
      </c>
      <c r="I92" t="s">
        <v>27</v>
      </c>
      <c r="J92" t="s">
        <v>204</v>
      </c>
      <c r="K92" t="s">
        <v>27</v>
      </c>
      <c r="L92" t="s">
        <v>27</v>
      </c>
      <c r="M92" t="s">
        <v>36</v>
      </c>
      <c r="N92" s="2">
        <f ca="1">DATE(2025,ROUNDUP(ROW(A93)*12/118,0),RANDBETWEEN(1,28))</f>
        <v>45954</v>
      </c>
      <c r="O92" s="2">
        <f ca="1">DATE(2027,ROUNDUP(ROW(A93)*12/118,0),RANDBETWEEN(1,28))</f>
        <v>46683</v>
      </c>
      <c r="P92" s="2">
        <f ca="1">DATE(2025,ROUNDUP(ROW(A93)*12/118,0),RANDBETWEEN(1,28))</f>
        <v>45937</v>
      </c>
      <c r="Q92" s="2">
        <f t="shared" ca="1" si="4"/>
        <v>46677</v>
      </c>
      <c r="R92" s="2">
        <f ca="1">Activity_OMEGA_AUG23[[#This Row],[Actual Start]]</f>
        <v>45937</v>
      </c>
      <c r="S92" s="2">
        <f t="shared" ca="1" si="3"/>
        <v>46671</v>
      </c>
    </row>
    <row r="93" spans="1:19" x14ac:dyDescent="0.3">
      <c r="A93" t="s">
        <v>19</v>
      </c>
      <c r="B93" t="s">
        <v>167</v>
      </c>
      <c r="C93" t="s">
        <v>21</v>
      </c>
      <c r="D93" t="s">
        <v>159</v>
      </c>
      <c r="E93" t="s">
        <v>168</v>
      </c>
      <c r="F93" t="s">
        <v>161</v>
      </c>
      <c r="G93" t="s">
        <v>40</v>
      </c>
      <c r="H93" t="s">
        <v>26</v>
      </c>
      <c r="I93" t="s">
        <v>26</v>
      </c>
      <c r="J93" t="s">
        <v>169</v>
      </c>
      <c r="K93" t="s">
        <v>169</v>
      </c>
      <c r="L93" t="s">
        <v>169</v>
      </c>
      <c r="M93" t="s">
        <v>170</v>
      </c>
      <c r="N93" s="2">
        <f ca="1">DATE(2025,ROUNDUP(ROW(A94)*12/118,0),RANDBETWEEN(1,28))</f>
        <v>45943</v>
      </c>
      <c r="O93" s="2">
        <f ca="1">DATE(2027,ROUNDUP(ROW(A94)*12/118,0),RANDBETWEEN(1,28))</f>
        <v>46671</v>
      </c>
      <c r="P93" s="2">
        <f ca="1">DATE(2025,ROUNDUP(ROW(A94)*12/118,0),RANDBETWEEN(1,28))</f>
        <v>45943</v>
      </c>
      <c r="Q93" s="2">
        <f t="shared" ca="1" si="4"/>
        <v>46671</v>
      </c>
      <c r="R93" s="2">
        <f ca="1">Activity_OMEGA_AUG23[[#This Row],[Actual Start]]</f>
        <v>45943</v>
      </c>
      <c r="S93" s="2">
        <f t="shared" ca="1" si="3"/>
        <v>46669</v>
      </c>
    </row>
    <row r="94" spans="1:19" x14ac:dyDescent="0.3">
      <c r="A94" t="s">
        <v>19</v>
      </c>
      <c r="B94" t="s">
        <v>313</v>
      </c>
      <c r="C94" t="s">
        <v>192</v>
      </c>
      <c r="D94" t="s">
        <v>314</v>
      </c>
      <c r="E94" t="s">
        <v>315</v>
      </c>
      <c r="F94" t="s">
        <v>312</v>
      </c>
      <c r="G94" t="s">
        <v>31</v>
      </c>
      <c r="H94" t="s">
        <v>27</v>
      </c>
      <c r="I94" t="s">
        <v>238</v>
      </c>
      <c r="J94" t="s">
        <v>27</v>
      </c>
      <c r="K94" t="s">
        <v>27</v>
      </c>
      <c r="L94" t="s">
        <v>27</v>
      </c>
      <c r="M94" t="s">
        <v>52</v>
      </c>
      <c r="N94" s="2">
        <f ca="1">DATE(2025,ROUNDUP(ROW(A95)*12/118,0),RANDBETWEEN(1,28))</f>
        <v>45937</v>
      </c>
      <c r="O94" s="2">
        <f ca="1">DATE(2027,ROUNDUP(ROW(A95)*12/118,0),RANDBETWEEN(1,28))</f>
        <v>46683</v>
      </c>
      <c r="P94" s="2">
        <f ca="1">DATE(2025,ROUNDUP(ROW(A95)*12/118,0),RANDBETWEEN(1,28))</f>
        <v>45931</v>
      </c>
      <c r="Q94" s="2">
        <f t="shared" ca="1" si="4"/>
        <v>46669</v>
      </c>
      <c r="R94" s="2">
        <f ca="1">Activity_OMEGA_AUG23[[#This Row],[Actual Start]]</f>
        <v>45931</v>
      </c>
      <c r="S94" s="2">
        <f t="shared" ca="1" si="3"/>
        <v>46687</v>
      </c>
    </row>
    <row r="95" spans="1:19" x14ac:dyDescent="0.3">
      <c r="A95" t="s">
        <v>19</v>
      </c>
      <c r="B95" t="s">
        <v>304</v>
      </c>
      <c r="C95" t="s">
        <v>192</v>
      </c>
      <c r="D95" t="s">
        <v>302</v>
      </c>
      <c r="E95" t="s">
        <v>305</v>
      </c>
      <c r="F95" t="s">
        <v>161</v>
      </c>
      <c r="G95" t="s">
        <v>64</v>
      </c>
      <c r="H95" t="s">
        <v>27</v>
      </c>
      <c r="I95" t="s">
        <v>27</v>
      </c>
      <c r="J95" t="s">
        <v>204</v>
      </c>
      <c r="K95" t="s">
        <v>27</v>
      </c>
      <c r="L95" t="s">
        <v>27</v>
      </c>
      <c r="M95" t="s">
        <v>36</v>
      </c>
      <c r="N95" s="2">
        <f ca="1">DATE(2025,ROUNDUP(ROW(A96)*12/118,0),RANDBETWEEN(1,28))</f>
        <v>45953</v>
      </c>
      <c r="O95" s="2">
        <f ca="1">DATE(2027,ROUNDUP(ROW(A96)*12/118,0),RANDBETWEEN(1,28))</f>
        <v>46662</v>
      </c>
      <c r="P95" s="2">
        <f ca="1">DATE(2025,ROUNDUP(ROW(A96)*12/118,0),RANDBETWEEN(1,28))</f>
        <v>45953</v>
      </c>
      <c r="Q95" s="2">
        <f t="shared" ca="1" si="4"/>
        <v>46687</v>
      </c>
      <c r="R95" s="2">
        <f ca="1">Activity_OMEGA_AUG23[[#This Row],[Actual Start]]</f>
        <v>45953</v>
      </c>
      <c r="S95" s="2">
        <f t="shared" ca="1" si="3"/>
        <v>46679</v>
      </c>
    </row>
    <row r="96" spans="1:19" x14ac:dyDescent="0.3">
      <c r="A96" t="s">
        <v>19</v>
      </c>
      <c r="B96" t="s">
        <v>58</v>
      </c>
      <c r="C96" t="s">
        <v>21</v>
      </c>
      <c r="D96" t="s">
        <v>59</v>
      </c>
      <c r="E96" t="s">
        <v>60</v>
      </c>
      <c r="F96" t="s">
        <v>24</v>
      </c>
      <c r="G96" t="s">
        <v>61</v>
      </c>
      <c r="H96" t="s">
        <v>26</v>
      </c>
      <c r="I96" t="s">
        <v>26</v>
      </c>
      <c r="J96" t="s">
        <v>27</v>
      </c>
      <c r="K96" t="s">
        <v>27</v>
      </c>
      <c r="L96" t="s">
        <v>27</v>
      </c>
      <c r="M96" t="s">
        <v>41</v>
      </c>
      <c r="N96" s="2">
        <f ca="1">DATE(2025,ROUNDUP(ROW(A97)*12/118,0),RANDBETWEEN(1,28))</f>
        <v>45939</v>
      </c>
      <c r="O96" s="2">
        <f ca="1">DATE(2027,ROUNDUP(ROW(A97)*12/118,0),RANDBETWEEN(1,28))</f>
        <v>46686</v>
      </c>
      <c r="P96" s="2">
        <f ca="1">DATE(2025,ROUNDUP(ROW(A97)*12/118,0),RANDBETWEEN(1,28))</f>
        <v>45945</v>
      </c>
      <c r="Q96" s="2">
        <f t="shared" ca="1" si="4"/>
        <v>46679</v>
      </c>
      <c r="R96" s="2">
        <f ca="1">Activity_OMEGA_AUG23[[#This Row],[Actual Start]]</f>
        <v>45945</v>
      </c>
      <c r="S96" s="2">
        <f t="shared" ca="1" si="3"/>
        <v>46667</v>
      </c>
    </row>
    <row r="97" spans="1:19" x14ac:dyDescent="0.3">
      <c r="A97" t="s">
        <v>19</v>
      </c>
      <c r="B97" t="s">
        <v>327</v>
      </c>
      <c r="C97" t="s">
        <v>192</v>
      </c>
      <c r="D97" t="s">
        <v>328</v>
      </c>
      <c r="E97" t="s">
        <v>329</v>
      </c>
      <c r="F97" t="s">
        <v>312</v>
      </c>
      <c r="G97" t="s">
        <v>31</v>
      </c>
      <c r="H97" t="s">
        <v>27</v>
      </c>
      <c r="I97" t="s">
        <v>27</v>
      </c>
      <c r="J97" t="s">
        <v>27</v>
      </c>
      <c r="K97" t="s">
        <v>27</v>
      </c>
      <c r="L97" t="s">
        <v>27</v>
      </c>
      <c r="M97" t="s">
        <v>52</v>
      </c>
      <c r="N97" s="2">
        <f ca="1">DATE(2025,ROUNDUP(ROW(A98)*12/118,0),RANDBETWEEN(1,28))</f>
        <v>45935</v>
      </c>
      <c r="O97" s="2">
        <f ca="1">DATE(2027,ROUNDUP(ROW(A98)*12/118,0),RANDBETWEEN(1,28))</f>
        <v>46673</v>
      </c>
      <c r="P97" s="2">
        <f ca="1">DATE(2025,ROUNDUP(ROW(A98)*12/118,0),RANDBETWEEN(1,28))</f>
        <v>45931</v>
      </c>
      <c r="Q97" s="2">
        <f t="shared" ca="1" si="4"/>
        <v>46667</v>
      </c>
      <c r="R97" s="2">
        <f ca="1">Activity_OMEGA_AUG23[[#This Row],[Actual Start]]</f>
        <v>45931</v>
      </c>
      <c r="S97" s="2">
        <f t="shared" ca="1" si="3"/>
        <v>46710</v>
      </c>
    </row>
    <row r="98" spans="1:19" x14ac:dyDescent="0.3">
      <c r="A98" t="s">
        <v>19</v>
      </c>
      <c r="B98" t="s">
        <v>319</v>
      </c>
      <c r="C98" t="s">
        <v>192</v>
      </c>
      <c r="D98" t="s">
        <v>317</v>
      </c>
      <c r="E98" t="s">
        <v>320</v>
      </c>
      <c r="F98" t="s">
        <v>312</v>
      </c>
      <c r="G98" t="s">
        <v>64</v>
      </c>
      <c r="H98" t="s">
        <v>27</v>
      </c>
      <c r="I98" t="s">
        <v>26</v>
      </c>
      <c r="J98" t="s">
        <v>27</v>
      </c>
      <c r="K98" t="s">
        <v>27</v>
      </c>
      <c r="L98" t="s">
        <v>27</v>
      </c>
      <c r="M98" t="s">
        <v>52</v>
      </c>
      <c r="N98" s="2">
        <f ca="1">DATE(2025,ROUNDUP(ROW(A99)*12/118,0),RANDBETWEEN(1,28))</f>
        <v>45987</v>
      </c>
      <c r="O98" s="2">
        <f ca="1">DATE(2027,ROUNDUP(ROW(A99)*12/118,0),RANDBETWEEN(1,28))</f>
        <v>46695</v>
      </c>
      <c r="P98" s="2">
        <f ca="1">DATE(2025,ROUNDUP(ROW(A99)*12/118,0),RANDBETWEEN(1,28))</f>
        <v>45968</v>
      </c>
      <c r="Q98" s="2">
        <f t="shared" ca="1" si="4"/>
        <v>46710</v>
      </c>
      <c r="R98" s="2">
        <f ca="1">Activity_OMEGA_AUG23[[#This Row],[Actual Start]]</f>
        <v>45968</v>
      </c>
      <c r="S98" s="2">
        <f t="shared" ref="S98:S129" ca="1" si="5">Q99</f>
        <v>46702</v>
      </c>
    </row>
    <row r="99" spans="1:19" x14ac:dyDescent="0.3">
      <c r="A99" t="s">
        <v>19</v>
      </c>
      <c r="B99" t="s">
        <v>98</v>
      </c>
      <c r="C99" t="s">
        <v>21</v>
      </c>
      <c r="D99" t="s">
        <v>86</v>
      </c>
      <c r="E99" t="s">
        <v>99</v>
      </c>
      <c r="F99" t="s">
        <v>24</v>
      </c>
      <c r="G99" t="s">
        <v>40</v>
      </c>
      <c r="H99" t="s">
        <v>26</v>
      </c>
      <c r="I99" t="s">
        <v>26</v>
      </c>
      <c r="J99" t="s">
        <v>27</v>
      </c>
      <c r="K99" t="s">
        <v>27</v>
      </c>
      <c r="L99" t="s">
        <v>27</v>
      </c>
      <c r="M99" t="s">
        <v>57</v>
      </c>
      <c r="N99" s="2">
        <f ca="1">DATE(2025,ROUNDUP(ROW(A100)*12/118,0),RANDBETWEEN(1,28))</f>
        <v>45970</v>
      </c>
      <c r="O99" s="2">
        <f ca="1">DATE(2027,ROUNDUP(ROW(A100)*12/118,0),RANDBETWEEN(1,28))</f>
        <v>46712</v>
      </c>
      <c r="P99" s="2">
        <f ca="1">DATE(2025,ROUNDUP(ROW(A100)*12/118,0),RANDBETWEEN(1,28))</f>
        <v>45983</v>
      </c>
      <c r="Q99" s="2">
        <f t="shared" ca="1" si="4"/>
        <v>46702</v>
      </c>
      <c r="R99" s="2">
        <f ca="1">Activity_OMEGA_AUG23[[#This Row],[Actual Start]]</f>
        <v>45983</v>
      </c>
      <c r="S99" s="2">
        <f t="shared" ca="1" si="5"/>
        <v>46700</v>
      </c>
    </row>
    <row r="100" spans="1:19" x14ac:dyDescent="0.3">
      <c r="A100" t="s">
        <v>19</v>
      </c>
      <c r="B100" t="s">
        <v>321</v>
      </c>
      <c r="C100" t="s">
        <v>192</v>
      </c>
      <c r="D100" t="s">
        <v>322</v>
      </c>
      <c r="E100" t="s">
        <v>323</v>
      </c>
      <c r="F100" t="s">
        <v>312</v>
      </c>
      <c r="G100" t="s">
        <v>35</v>
      </c>
      <c r="H100" t="s">
        <v>27</v>
      </c>
      <c r="I100" t="s">
        <v>27</v>
      </c>
      <c r="J100" t="s">
        <v>27</v>
      </c>
      <c r="K100" t="s">
        <v>27</v>
      </c>
      <c r="L100" t="s">
        <v>27</v>
      </c>
      <c r="M100" t="s">
        <v>52</v>
      </c>
      <c r="N100" s="2">
        <f ca="1">DATE(2025,ROUNDUP(ROW(A101)*12/118,0),RANDBETWEEN(1,28))</f>
        <v>45966</v>
      </c>
      <c r="O100" s="2">
        <f ca="1">DATE(2027,ROUNDUP(ROW(A101)*12/118,0),RANDBETWEEN(1,28))</f>
        <v>46700</v>
      </c>
      <c r="P100" s="2">
        <f ca="1">DATE(2025,ROUNDUP(ROW(A101)*12/118,0),RANDBETWEEN(1,28))</f>
        <v>45986</v>
      </c>
      <c r="Q100" s="2">
        <f t="shared" ca="1" si="4"/>
        <v>46700</v>
      </c>
      <c r="R100" s="2">
        <f ca="1">Activity_OMEGA_AUG23[[#This Row],[Actual Start]]</f>
        <v>45986</v>
      </c>
      <c r="S100" s="2">
        <f t="shared" ca="1" si="5"/>
        <v>46710</v>
      </c>
    </row>
    <row r="101" spans="1:19" x14ac:dyDescent="0.3">
      <c r="A101" t="s">
        <v>19</v>
      </c>
      <c r="B101" t="s">
        <v>116</v>
      </c>
      <c r="C101" t="s">
        <v>21</v>
      </c>
      <c r="D101" t="s">
        <v>106</v>
      </c>
      <c r="E101" t="s">
        <v>117</v>
      </c>
      <c r="F101" t="s">
        <v>24</v>
      </c>
      <c r="G101" t="s">
        <v>40</v>
      </c>
      <c r="H101" t="s">
        <v>26</v>
      </c>
      <c r="I101" t="s">
        <v>26</v>
      </c>
      <c r="J101" t="s">
        <v>27</v>
      </c>
      <c r="K101" t="s">
        <v>27</v>
      </c>
      <c r="L101" t="s">
        <v>27</v>
      </c>
      <c r="M101" t="s">
        <v>32</v>
      </c>
      <c r="N101" s="2">
        <f ca="1">DATE(2025,ROUNDUP(ROW(A102)*12/118,0),RANDBETWEEN(1,28))</f>
        <v>45983</v>
      </c>
      <c r="O101" s="2">
        <f ca="1">DATE(2027,ROUNDUP(ROW(A102)*12/118,0),RANDBETWEEN(1,28))</f>
        <v>46701</v>
      </c>
      <c r="P101" s="2">
        <f ca="1">DATE(2025,ROUNDUP(ROW(A102)*12/118,0),RANDBETWEEN(1,28))</f>
        <v>45985</v>
      </c>
      <c r="Q101" s="2">
        <f t="shared" ca="1" si="4"/>
        <v>46710</v>
      </c>
      <c r="R101" s="2">
        <f ca="1">Activity_OMEGA_AUG23[[#This Row],[Actual Start]]</f>
        <v>45985</v>
      </c>
      <c r="S101" s="2">
        <f t="shared" ca="1" si="5"/>
        <v>46719</v>
      </c>
    </row>
    <row r="102" spans="1:19" x14ac:dyDescent="0.3">
      <c r="A102" t="s">
        <v>19</v>
      </c>
      <c r="B102" t="s">
        <v>275</v>
      </c>
      <c r="C102" t="s">
        <v>192</v>
      </c>
      <c r="D102" t="s">
        <v>276</v>
      </c>
      <c r="E102" t="s">
        <v>277</v>
      </c>
      <c r="F102" t="s">
        <v>161</v>
      </c>
      <c r="G102" t="s">
        <v>35</v>
      </c>
      <c r="H102" t="s">
        <v>27</v>
      </c>
      <c r="I102" t="s">
        <v>27</v>
      </c>
      <c r="J102" t="s">
        <v>209</v>
      </c>
      <c r="K102" t="s">
        <v>27</v>
      </c>
      <c r="L102" t="s">
        <v>27</v>
      </c>
      <c r="M102" t="s">
        <v>211</v>
      </c>
      <c r="N102" s="2">
        <f ca="1">DATE(2025,ROUNDUP(ROW(A103)*12/118,0),RANDBETWEEN(1,28))</f>
        <v>45972</v>
      </c>
      <c r="O102" s="2">
        <f ca="1">DATE(2027,ROUNDUP(ROW(A103)*12/118,0),RANDBETWEEN(1,28))</f>
        <v>46693</v>
      </c>
      <c r="P102" s="2">
        <f ca="1">DATE(2025,ROUNDUP(ROW(A103)*12/118,0),RANDBETWEEN(1,28))</f>
        <v>45974</v>
      </c>
      <c r="Q102" s="2">
        <f t="shared" ca="1" si="4"/>
        <v>46719</v>
      </c>
      <c r="R102" s="2">
        <f ca="1">Activity_OMEGA_AUG23[[#This Row],[Actual Start]]</f>
        <v>45974</v>
      </c>
      <c r="S102" s="2">
        <f t="shared" ca="1" si="5"/>
        <v>46718</v>
      </c>
    </row>
    <row r="103" spans="1:19" x14ac:dyDescent="0.3">
      <c r="A103" t="s">
        <v>19</v>
      </c>
      <c r="B103" t="s">
        <v>217</v>
      </c>
      <c r="C103" t="s">
        <v>21</v>
      </c>
      <c r="D103" t="s">
        <v>213</v>
      </c>
      <c r="E103" t="s">
        <v>218</v>
      </c>
      <c r="F103" t="s">
        <v>161</v>
      </c>
      <c r="G103" t="s">
        <v>40</v>
      </c>
      <c r="H103" t="s">
        <v>26</v>
      </c>
      <c r="I103" t="s">
        <v>26</v>
      </c>
      <c r="J103" t="s">
        <v>169</v>
      </c>
      <c r="K103" t="s">
        <v>169</v>
      </c>
      <c r="L103" t="s">
        <v>169</v>
      </c>
      <c r="M103" t="s">
        <v>170</v>
      </c>
      <c r="N103" s="2">
        <f ca="1">DATE(2025,ROUNDUP(ROW(A104)*12/118,0),RANDBETWEEN(1,28))</f>
        <v>45981</v>
      </c>
      <c r="O103" s="2">
        <f ca="1">DATE(2027,ROUNDUP(ROW(A104)*12/118,0),RANDBETWEEN(1,28))</f>
        <v>46719</v>
      </c>
      <c r="P103" s="2">
        <f ca="1">DATE(2025,ROUNDUP(ROW(A104)*12/118,0),RANDBETWEEN(1,28))</f>
        <v>45987</v>
      </c>
      <c r="Q103" s="2">
        <f t="shared" ca="1" si="4"/>
        <v>46718</v>
      </c>
      <c r="R103" s="2">
        <f ca="1">Activity_OMEGA_AUG23[[#This Row],[Actual Start]]</f>
        <v>45987</v>
      </c>
      <c r="S103" s="2">
        <f t="shared" ca="1" si="5"/>
        <v>46698</v>
      </c>
    </row>
    <row r="104" spans="1:19" x14ac:dyDescent="0.3">
      <c r="A104" t="s">
        <v>19</v>
      </c>
      <c r="B104" t="s">
        <v>293</v>
      </c>
      <c r="C104" t="s">
        <v>192</v>
      </c>
      <c r="D104" t="s">
        <v>294</v>
      </c>
      <c r="E104" t="s">
        <v>295</v>
      </c>
      <c r="F104" t="s">
        <v>161</v>
      </c>
      <c r="G104" t="s">
        <v>45</v>
      </c>
      <c r="H104" t="s">
        <v>27</v>
      </c>
      <c r="I104" t="s">
        <v>296</v>
      </c>
      <c r="J104" t="s">
        <v>190</v>
      </c>
      <c r="K104" t="s">
        <v>27</v>
      </c>
      <c r="L104" t="s">
        <v>297</v>
      </c>
      <c r="M104" t="s">
        <v>147</v>
      </c>
      <c r="N104" s="2">
        <f ca="1">DATE(2025,ROUNDUP(ROW(A105)*12/118,0),RANDBETWEEN(1,28))</f>
        <v>45983</v>
      </c>
      <c r="O104" s="2">
        <f ca="1">DATE(2027,ROUNDUP(ROW(A105)*12/118,0),RANDBETWEEN(1,28))</f>
        <v>46693</v>
      </c>
      <c r="P104" s="2">
        <f ca="1">DATE(2025,ROUNDUP(ROW(A105)*12/118,0),RANDBETWEEN(1,28))</f>
        <v>45982</v>
      </c>
      <c r="Q104" s="2">
        <f t="shared" ca="1" si="4"/>
        <v>46698</v>
      </c>
      <c r="R104" s="2">
        <f ca="1">Activity_OMEGA_AUG23[[#This Row],[Actual Start]]</f>
        <v>45982</v>
      </c>
      <c r="S104" s="2">
        <f t="shared" ca="1" si="5"/>
        <v>46705</v>
      </c>
    </row>
    <row r="105" spans="1:19" x14ac:dyDescent="0.3">
      <c r="A105" t="s">
        <v>19</v>
      </c>
      <c r="B105" t="s">
        <v>306</v>
      </c>
      <c r="C105" t="s">
        <v>192</v>
      </c>
      <c r="D105" t="s">
        <v>307</v>
      </c>
      <c r="E105" t="s">
        <v>308</v>
      </c>
      <c r="F105" t="s">
        <v>161</v>
      </c>
      <c r="G105" t="s">
        <v>35</v>
      </c>
      <c r="H105" t="s">
        <v>27</v>
      </c>
      <c r="I105" t="s">
        <v>27</v>
      </c>
      <c r="J105" t="s">
        <v>209</v>
      </c>
      <c r="K105" t="s">
        <v>27</v>
      </c>
      <c r="L105" t="s">
        <v>27</v>
      </c>
      <c r="M105" t="s">
        <v>211</v>
      </c>
      <c r="N105" s="2">
        <f ca="1">DATE(2025,ROUNDUP(ROW(A106)*12/118,0),RANDBETWEEN(1,28))</f>
        <v>45987</v>
      </c>
      <c r="O105" s="2">
        <f ca="1">DATE(2027,ROUNDUP(ROW(A106)*12/118,0),RANDBETWEEN(1,28))</f>
        <v>46706</v>
      </c>
      <c r="P105" s="2">
        <f ca="1">DATE(2025,ROUNDUP(ROW(A106)*12/118,0),RANDBETWEEN(1,28))</f>
        <v>45989</v>
      </c>
      <c r="Q105" s="2">
        <f t="shared" ca="1" si="4"/>
        <v>46705</v>
      </c>
      <c r="R105" s="2">
        <f ca="1">Activity_OMEGA_AUG23[[#This Row],[Actual Start]]</f>
        <v>45989</v>
      </c>
      <c r="S105" s="2">
        <f t="shared" ca="1" si="5"/>
        <v>46696</v>
      </c>
    </row>
    <row r="106" spans="1:19" x14ac:dyDescent="0.3">
      <c r="A106" t="s">
        <v>19</v>
      </c>
      <c r="B106" t="s">
        <v>100</v>
      </c>
      <c r="C106" t="s">
        <v>21</v>
      </c>
      <c r="D106" t="s">
        <v>101</v>
      </c>
      <c r="E106" t="s">
        <v>102</v>
      </c>
      <c r="F106" t="s">
        <v>24</v>
      </c>
      <c r="G106" t="s">
        <v>61</v>
      </c>
      <c r="H106" t="s">
        <v>26</v>
      </c>
      <c r="I106" t="s">
        <v>26</v>
      </c>
      <c r="J106" t="s">
        <v>27</v>
      </c>
      <c r="K106" t="s">
        <v>27</v>
      </c>
      <c r="L106" t="s">
        <v>27</v>
      </c>
      <c r="M106" t="s">
        <v>41</v>
      </c>
      <c r="N106" s="2">
        <f ca="1">DATE(2025,ROUNDUP(ROW(A107)*12/118,0),RANDBETWEEN(1,28))</f>
        <v>45987</v>
      </c>
      <c r="O106" s="2">
        <f ca="1">DATE(2027,ROUNDUP(ROW(A107)*12/118,0),RANDBETWEEN(1,28))</f>
        <v>46707</v>
      </c>
      <c r="P106" s="2">
        <f ca="1">DATE(2025,ROUNDUP(ROW(A107)*12/118,0),RANDBETWEEN(1,28))</f>
        <v>45979</v>
      </c>
      <c r="Q106" s="2">
        <f t="shared" ca="1" si="4"/>
        <v>46696</v>
      </c>
      <c r="R106" s="2">
        <f ca="1">Activity_OMEGA_AUG23[[#This Row],[Actual Start]]</f>
        <v>45979</v>
      </c>
      <c r="S106" s="2">
        <f t="shared" ca="1" si="5"/>
        <v>46704</v>
      </c>
    </row>
    <row r="107" spans="1:19" x14ac:dyDescent="0.3">
      <c r="A107" t="s">
        <v>19</v>
      </c>
      <c r="B107" t="s">
        <v>158</v>
      </c>
      <c r="C107" t="s">
        <v>21</v>
      </c>
      <c r="D107" t="s">
        <v>159</v>
      </c>
      <c r="E107" t="s">
        <v>160</v>
      </c>
      <c r="F107" t="s">
        <v>161</v>
      </c>
      <c r="G107" t="s">
        <v>40</v>
      </c>
      <c r="H107" t="s">
        <v>26</v>
      </c>
      <c r="I107" t="s">
        <v>26</v>
      </c>
      <c r="J107" t="s">
        <v>162</v>
      </c>
      <c r="K107" t="s">
        <v>162</v>
      </c>
      <c r="L107" t="s">
        <v>162</v>
      </c>
      <c r="M107" t="s">
        <v>163</v>
      </c>
      <c r="N107" s="2">
        <f ca="1">DATE(2025,ROUNDUP(ROW(A108)*12/118,0),RANDBETWEEN(1,28))</f>
        <v>45975</v>
      </c>
      <c r="O107" s="2">
        <f ca="1">DATE(2027,ROUNDUP(ROW(A108)*12/118,0),RANDBETWEEN(1,28))</f>
        <v>46697</v>
      </c>
      <c r="P107" s="2">
        <f ca="1">DATE(2025,ROUNDUP(ROW(A108)*12/118,0),RANDBETWEEN(1,28))</f>
        <v>45981</v>
      </c>
      <c r="Q107" s="2">
        <f t="shared" ca="1" si="4"/>
        <v>46704</v>
      </c>
      <c r="R107" s="2">
        <f ca="1">Activity_OMEGA_AUG23[[#This Row],[Actual Start]]</f>
        <v>45981</v>
      </c>
      <c r="S107" s="2">
        <f t="shared" ca="1" si="5"/>
        <v>46743</v>
      </c>
    </row>
    <row r="108" spans="1:19" x14ac:dyDescent="0.3">
      <c r="A108" t="s">
        <v>19</v>
      </c>
      <c r="B108" t="s">
        <v>283</v>
      </c>
      <c r="C108" t="s">
        <v>21</v>
      </c>
      <c r="D108" t="s">
        <v>279</v>
      </c>
      <c r="E108" t="s">
        <v>284</v>
      </c>
      <c r="F108" t="s">
        <v>161</v>
      </c>
      <c r="G108" t="s">
        <v>40</v>
      </c>
      <c r="H108" t="s">
        <v>26</v>
      </c>
      <c r="I108" t="s">
        <v>26</v>
      </c>
      <c r="J108" t="s">
        <v>169</v>
      </c>
      <c r="K108" t="s">
        <v>169</v>
      </c>
      <c r="L108" t="s">
        <v>169</v>
      </c>
      <c r="M108" t="s">
        <v>170</v>
      </c>
      <c r="N108" s="2">
        <f ca="1">DATE(2025,ROUNDUP(ROW(A109)*12/118,0),RANDBETWEEN(1,28))</f>
        <v>46017</v>
      </c>
      <c r="O108" s="2">
        <f ca="1">DATE(2027,ROUNDUP(ROW(A109)*12/118,0),RANDBETWEEN(1,28))</f>
        <v>46731</v>
      </c>
      <c r="P108" s="2">
        <f ca="1">DATE(2025,ROUNDUP(ROW(A109)*12/118,0),RANDBETWEEN(1,28))</f>
        <v>46001</v>
      </c>
      <c r="Q108" s="2">
        <f t="shared" ca="1" si="4"/>
        <v>46743</v>
      </c>
      <c r="R108" s="2">
        <f ca="1">Activity_OMEGA_AUG23[[#This Row],[Actual Start]]</f>
        <v>46001</v>
      </c>
      <c r="S108" s="2">
        <f t="shared" ca="1" si="5"/>
        <v>46738</v>
      </c>
    </row>
    <row r="109" spans="1:19" x14ac:dyDescent="0.3">
      <c r="A109" t="s">
        <v>19</v>
      </c>
      <c r="B109" t="s">
        <v>367</v>
      </c>
      <c r="C109" t="s">
        <v>21</v>
      </c>
      <c r="D109" t="s">
        <v>368</v>
      </c>
      <c r="E109" t="s">
        <v>369</v>
      </c>
      <c r="F109" t="s">
        <v>196</v>
      </c>
      <c r="G109" t="s">
        <v>196</v>
      </c>
      <c r="H109" t="s">
        <v>26</v>
      </c>
      <c r="I109" t="s">
        <v>26</v>
      </c>
      <c r="J109" t="s">
        <v>27</v>
      </c>
      <c r="K109" t="s">
        <v>27</v>
      </c>
      <c r="L109" t="s">
        <v>27</v>
      </c>
      <c r="M109" t="s">
        <v>27</v>
      </c>
      <c r="N109" s="2">
        <f ca="1">DATE(2025,ROUNDUP(ROW(A110)*12/118,0),RANDBETWEEN(1,28))</f>
        <v>46000</v>
      </c>
      <c r="O109" s="2">
        <f ca="1">DATE(2027,ROUNDUP(ROW(A110)*12/118,0),RANDBETWEEN(1,28))</f>
        <v>46735</v>
      </c>
      <c r="P109" s="2">
        <f ca="1">DATE(2025,ROUNDUP(ROW(A110)*12/118,0),RANDBETWEEN(1,28))</f>
        <v>46007</v>
      </c>
      <c r="Q109" s="2">
        <f t="shared" ca="1" si="4"/>
        <v>46738</v>
      </c>
      <c r="R109" s="2">
        <f ca="1">Activity_OMEGA_AUG23[[#This Row],[Actual Start]]</f>
        <v>46007</v>
      </c>
      <c r="S109" s="2">
        <f t="shared" ca="1" si="5"/>
        <v>46740</v>
      </c>
    </row>
    <row r="110" spans="1:19" x14ac:dyDescent="0.3">
      <c r="A110" t="s">
        <v>19</v>
      </c>
      <c r="B110" t="s">
        <v>65</v>
      </c>
      <c r="C110" t="s">
        <v>21</v>
      </c>
      <c r="D110" t="s">
        <v>66</v>
      </c>
      <c r="E110" t="s">
        <v>67</v>
      </c>
      <c r="F110" t="s">
        <v>24</v>
      </c>
      <c r="G110" t="s">
        <v>40</v>
      </c>
      <c r="H110" t="s">
        <v>26</v>
      </c>
      <c r="I110" t="s">
        <v>26</v>
      </c>
      <c r="J110" t="s">
        <v>27</v>
      </c>
      <c r="K110" t="s">
        <v>27</v>
      </c>
      <c r="L110" t="s">
        <v>27</v>
      </c>
      <c r="M110" t="s">
        <v>41</v>
      </c>
      <c r="N110" s="2">
        <f ca="1">DATE(2025,ROUNDUP(ROW(A111)*12/118,0),RANDBETWEEN(1,28))</f>
        <v>46012</v>
      </c>
      <c r="O110" s="2">
        <f ca="1">DATE(2027,ROUNDUP(ROW(A111)*12/118,0),RANDBETWEEN(1,28))</f>
        <v>46732</v>
      </c>
      <c r="P110" s="2">
        <f ca="1">DATE(2025,ROUNDUP(ROW(A111)*12/118,0),RANDBETWEEN(1,28))</f>
        <v>46003</v>
      </c>
      <c r="Q110" s="2">
        <f t="shared" ca="1" si="4"/>
        <v>46740</v>
      </c>
      <c r="R110" s="2">
        <f ca="1">Activity_OMEGA_AUG23[[#This Row],[Actual Start]]</f>
        <v>46003</v>
      </c>
      <c r="S110" s="2">
        <f t="shared" ca="1" si="5"/>
        <v>46747</v>
      </c>
    </row>
    <row r="111" spans="1:19" x14ac:dyDescent="0.3">
      <c r="A111" t="s">
        <v>19</v>
      </c>
      <c r="B111" t="s">
        <v>370</v>
      </c>
      <c r="C111" t="s">
        <v>192</v>
      </c>
      <c r="D111" t="s">
        <v>368</v>
      </c>
      <c r="E111" t="s">
        <v>371</v>
      </c>
      <c r="F111" t="s">
        <v>196</v>
      </c>
      <c r="G111" t="s">
        <v>196</v>
      </c>
      <c r="H111" t="s">
        <v>27</v>
      </c>
      <c r="I111" t="s">
        <v>27</v>
      </c>
      <c r="J111" t="s">
        <v>27</v>
      </c>
      <c r="K111" t="s">
        <v>27</v>
      </c>
      <c r="L111" t="s">
        <v>27</v>
      </c>
      <c r="M111" t="s">
        <v>27</v>
      </c>
      <c r="N111" s="2">
        <f ca="1">DATE(2025,ROUNDUP(ROW(A112)*12/118,0),RANDBETWEEN(1,28))</f>
        <v>46016</v>
      </c>
      <c r="O111" s="2">
        <f ca="1">DATE(2027,ROUNDUP(ROW(A112)*12/118,0),RANDBETWEEN(1,28))</f>
        <v>46729</v>
      </c>
      <c r="P111" s="2">
        <f ca="1">DATE(2025,ROUNDUP(ROW(A112)*12/118,0),RANDBETWEEN(1,28))</f>
        <v>46017</v>
      </c>
      <c r="Q111" s="2">
        <f t="shared" ca="1" si="4"/>
        <v>46747</v>
      </c>
      <c r="R111" s="2">
        <f ca="1">Activity_OMEGA_AUG23[[#This Row],[Actual Start]]</f>
        <v>46017</v>
      </c>
      <c r="S111" s="2">
        <f t="shared" ca="1" si="5"/>
        <v>46742</v>
      </c>
    </row>
    <row r="112" spans="1:19" x14ac:dyDescent="0.3">
      <c r="A112" t="s">
        <v>19</v>
      </c>
      <c r="B112" t="s">
        <v>42</v>
      </c>
      <c r="C112" t="s">
        <v>21</v>
      </c>
      <c r="D112" t="s">
        <v>43</v>
      </c>
      <c r="E112" t="s">
        <v>44</v>
      </c>
      <c r="F112" t="s">
        <v>24</v>
      </c>
      <c r="G112" t="s">
        <v>45</v>
      </c>
      <c r="H112" t="s">
        <v>26</v>
      </c>
      <c r="I112" t="s">
        <v>26</v>
      </c>
      <c r="J112" t="s">
        <v>27</v>
      </c>
      <c r="K112" t="s">
        <v>27</v>
      </c>
      <c r="L112" t="s">
        <v>27</v>
      </c>
      <c r="M112" t="s">
        <v>32</v>
      </c>
      <c r="N112" s="2">
        <f ca="1">DATE(2025,ROUNDUP(ROW(A113)*12/118,0),RANDBETWEEN(1,28))</f>
        <v>45995</v>
      </c>
      <c r="O112" s="2">
        <f ca="1">DATE(2027,ROUNDUP(ROW(A113)*12/118,0),RANDBETWEEN(1,28))</f>
        <v>46744</v>
      </c>
      <c r="P112" s="2">
        <f ca="1">DATE(2025,ROUNDUP(ROW(A113)*12/118,0),RANDBETWEEN(1,28))</f>
        <v>46011</v>
      </c>
      <c r="Q112" s="2">
        <f t="shared" ca="1" si="4"/>
        <v>46742</v>
      </c>
      <c r="R112" s="2">
        <f ca="1">Activity_OMEGA_AUG23[[#This Row],[Actual Start]]</f>
        <v>46011</v>
      </c>
      <c r="S112" s="2">
        <f t="shared" ca="1" si="5"/>
        <v>46739</v>
      </c>
    </row>
    <row r="113" spans="1:19" x14ac:dyDescent="0.3">
      <c r="A113" t="s">
        <v>19</v>
      </c>
      <c r="B113" t="s">
        <v>37</v>
      </c>
      <c r="C113" t="s">
        <v>21</v>
      </c>
      <c r="D113" t="s">
        <v>38</v>
      </c>
      <c r="E113" t="s">
        <v>39</v>
      </c>
      <c r="F113" t="s">
        <v>24</v>
      </c>
      <c r="G113" t="s">
        <v>40</v>
      </c>
      <c r="H113" t="s">
        <v>26</v>
      </c>
      <c r="I113" t="s">
        <v>26</v>
      </c>
      <c r="J113" t="s">
        <v>27</v>
      </c>
      <c r="K113" t="s">
        <v>27</v>
      </c>
      <c r="L113" t="s">
        <v>27</v>
      </c>
      <c r="M113" t="s">
        <v>41</v>
      </c>
      <c r="N113" s="2">
        <f ca="1">DATE(2025,ROUNDUP(ROW(A114)*12/118,0),RANDBETWEEN(1,28))</f>
        <v>45999</v>
      </c>
      <c r="O113" s="2">
        <f ca="1">DATE(2027,ROUNDUP(ROW(A114)*12/118,0),RANDBETWEEN(1,28))</f>
        <v>46745</v>
      </c>
      <c r="P113" s="2">
        <f ca="1">DATE(2025,ROUNDUP(ROW(A114)*12/118,0),RANDBETWEEN(1,28))</f>
        <v>45999</v>
      </c>
      <c r="Q113" s="2">
        <f t="shared" ca="1" si="4"/>
        <v>46739</v>
      </c>
      <c r="R113" s="2">
        <f ca="1">Activity_OMEGA_AUG23[[#This Row],[Actual Start]]</f>
        <v>45999</v>
      </c>
      <c r="S113" s="2">
        <f t="shared" ca="1" si="5"/>
        <v>46733</v>
      </c>
    </row>
    <row r="114" spans="1:19" x14ac:dyDescent="0.3">
      <c r="A114" t="s">
        <v>19</v>
      </c>
      <c r="B114" t="s">
        <v>151</v>
      </c>
      <c r="C114" t="s">
        <v>21</v>
      </c>
      <c r="D114" t="s">
        <v>126</v>
      </c>
      <c r="E114" t="s">
        <v>152</v>
      </c>
      <c r="F114" t="s">
        <v>128</v>
      </c>
      <c r="G114" t="s">
        <v>35</v>
      </c>
      <c r="H114" t="s">
        <v>26</v>
      </c>
      <c r="I114" t="s">
        <v>26</v>
      </c>
      <c r="J114" t="s">
        <v>153</v>
      </c>
      <c r="K114" t="s">
        <v>153</v>
      </c>
      <c r="L114" t="s">
        <v>153</v>
      </c>
      <c r="M114" t="s">
        <v>154</v>
      </c>
      <c r="N114" s="2">
        <f ca="1">DATE(2025,ROUNDUP(ROW(A115)*12/118,0),RANDBETWEEN(1,28))</f>
        <v>45998</v>
      </c>
      <c r="O114" s="2">
        <f ca="1">DATE(2027,ROUNDUP(ROW(A115)*12/118,0),RANDBETWEEN(1,28))</f>
        <v>46734</v>
      </c>
      <c r="P114" s="2">
        <f ca="1">DATE(2025,ROUNDUP(ROW(A115)*12/118,0),RANDBETWEEN(1,28))</f>
        <v>46008</v>
      </c>
      <c r="Q114" s="2">
        <f t="shared" ca="1" si="4"/>
        <v>46733</v>
      </c>
      <c r="R114" s="2">
        <f ca="1">Activity_OMEGA_AUG23[[#This Row],[Actual Start]]</f>
        <v>46008</v>
      </c>
      <c r="S114" s="2">
        <f t="shared" ca="1" si="5"/>
        <v>46729</v>
      </c>
    </row>
    <row r="115" spans="1:19" x14ac:dyDescent="0.3">
      <c r="A115" t="s">
        <v>19</v>
      </c>
      <c r="B115" t="s">
        <v>309</v>
      </c>
      <c r="C115" t="s">
        <v>192</v>
      </c>
      <c r="D115" t="s">
        <v>310</v>
      </c>
      <c r="E115" t="s">
        <v>311</v>
      </c>
      <c r="F115" t="s">
        <v>312</v>
      </c>
      <c r="G115" t="s">
        <v>45</v>
      </c>
      <c r="H115" t="s">
        <v>27</v>
      </c>
      <c r="I115" t="s">
        <v>26</v>
      </c>
      <c r="J115" t="s">
        <v>27</v>
      </c>
      <c r="K115" t="s">
        <v>27</v>
      </c>
      <c r="L115" t="s">
        <v>27</v>
      </c>
      <c r="M115" t="s">
        <v>52</v>
      </c>
      <c r="N115" s="2">
        <f ca="1">DATE(2025,ROUNDUP(ROW(A116)*12/118,0),RANDBETWEEN(1,28))</f>
        <v>46016</v>
      </c>
      <c r="O115" s="2">
        <f ca="1">DATE(2027,ROUNDUP(ROW(A116)*12/118,0),RANDBETWEEN(1,28))</f>
        <v>46738</v>
      </c>
      <c r="P115" s="2">
        <f ca="1">DATE(2025,ROUNDUP(ROW(A116)*12/118,0),RANDBETWEEN(1,28))</f>
        <v>46016</v>
      </c>
      <c r="Q115" s="2">
        <f t="shared" ca="1" si="4"/>
        <v>46729</v>
      </c>
      <c r="R115" s="2">
        <f ca="1">Activity_OMEGA_AUG23[[#This Row],[Actual Start]]</f>
        <v>46016</v>
      </c>
      <c r="S115" s="2">
        <f t="shared" ca="1" si="5"/>
        <v>46744</v>
      </c>
    </row>
    <row r="116" spans="1:19" x14ac:dyDescent="0.3">
      <c r="A116" t="s">
        <v>19</v>
      </c>
      <c r="B116" t="s">
        <v>316</v>
      </c>
      <c r="C116" t="s">
        <v>192</v>
      </c>
      <c r="D116" t="s">
        <v>317</v>
      </c>
      <c r="E116" t="s">
        <v>318</v>
      </c>
      <c r="F116" t="s">
        <v>312</v>
      </c>
      <c r="G116" t="s">
        <v>61</v>
      </c>
      <c r="H116" t="s">
        <v>27</v>
      </c>
      <c r="I116" t="s">
        <v>26</v>
      </c>
      <c r="J116" t="s">
        <v>27</v>
      </c>
      <c r="K116" t="s">
        <v>27</v>
      </c>
      <c r="L116" t="s">
        <v>27</v>
      </c>
      <c r="M116" t="s">
        <v>52</v>
      </c>
      <c r="N116" s="2">
        <f ca="1">DATE(2025,ROUNDUP(ROW(A117)*12/118,0),RANDBETWEEN(1,28))</f>
        <v>46000</v>
      </c>
      <c r="O116" s="2">
        <f ca="1">DATE(2027,ROUNDUP(ROW(A117)*12/118,0),RANDBETWEEN(1,28))</f>
        <v>46736</v>
      </c>
      <c r="P116" s="2">
        <f ca="1">DATE(2025,ROUNDUP(ROW(A117)*12/118,0),RANDBETWEEN(1,28))</f>
        <v>45992</v>
      </c>
      <c r="Q116" s="2">
        <f t="shared" ca="1" si="4"/>
        <v>46744</v>
      </c>
      <c r="R116" s="2">
        <f ca="1">Activity_OMEGA_AUG23[[#This Row],[Actual Start]]</f>
        <v>45992</v>
      </c>
      <c r="S116" s="2">
        <f t="shared" ca="1" si="5"/>
        <v>46723</v>
      </c>
    </row>
    <row r="117" spans="1:19" x14ac:dyDescent="0.3">
      <c r="A117" t="s">
        <v>19</v>
      </c>
      <c r="B117" t="s">
        <v>71</v>
      </c>
      <c r="C117" t="s">
        <v>21</v>
      </c>
      <c r="D117" t="s">
        <v>72</v>
      </c>
      <c r="E117" t="s">
        <v>73</v>
      </c>
      <c r="F117" t="s">
        <v>24</v>
      </c>
      <c r="G117" t="s">
        <v>31</v>
      </c>
      <c r="H117" t="s">
        <v>26</v>
      </c>
      <c r="I117" t="s">
        <v>26</v>
      </c>
      <c r="J117" t="s">
        <v>27</v>
      </c>
      <c r="K117" t="s">
        <v>27</v>
      </c>
      <c r="L117" t="s">
        <v>27</v>
      </c>
      <c r="M117" t="s">
        <v>49</v>
      </c>
      <c r="N117" s="2">
        <f ca="1">DATE(2025,ROUNDUP(ROW(A118)*12/118,0),RANDBETWEEN(1,28))</f>
        <v>45998</v>
      </c>
      <c r="O117" s="2">
        <f ca="1">DATE(2027,ROUNDUP(ROW(A118)*12/118,0),RANDBETWEEN(1,28))</f>
        <v>46725</v>
      </c>
      <c r="P117" s="2">
        <f ca="1">DATE(2025,ROUNDUP(ROW(A118)*12/118,0),RANDBETWEEN(1,28))</f>
        <v>46000</v>
      </c>
      <c r="Q117" s="2">
        <f t="shared" ca="1" si="4"/>
        <v>46723</v>
      </c>
      <c r="R117" s="2">
        <f ca="1">Activity_OMEGA_AUG23[[#This Row],[Actual Start]]</f>
        <v>46000</v>
      </c>
      <c r="S117" s="2">
        <f t="shared" ca="1" si="5"/>
        <v>46779</v>
      </c>
    </row>
    <row r="118" spans="1:19" x14ac:dyDescent="0.3">
      <c r="A118" t="s">
        <v>19</v>
      </c>
      <c r="B118" t="s">
        <v>94</v>
      </c>
      <c r="C118" t="s">
        <v>21</v>
      </c>
      <c r="D118" t="s">
        <v>86</v>
      </c>
      <c r="E118" t="s">
        <v>95</v>
      </c>
      <c r="F118" t="s">
        <v>24</v>
      </c>
      <c r="G118" t="s">
        <v>40</v>
      </c>
      <c r="H118" t="s">
        <v>26</v>
      </c>
      <c r="I118" t="s">
        <v>26</v>
      </c>
      <c r="J118" t="s">
        <v>27</v>
      </c>
      <c r="K118" t="s">
        <v>27</v>
      </c>
      <c r="L118" t="s">
        <v>27</v>
      </c>
      <c r="M118" t="s">
        <v>52</v>
      </c>
      <c r="N118" s="2">
        <f ca="1">DATE(2025,ROUNDUP(ROW(A119)*12/118,0),RANDBETWEEN(1,28))</f>
        <v>46040</v>
      </c>
      <c r="O118" s="2">
        <f ca="1">DATE(2027,ROUNDUP(ROW(A119)*12/118,0),RANDBETWEEN(1,28))</f>
        <v>46763</v>
      </c>
      <c r="P118" s="2">
        <f ca="1">DATE(2025,ROUNDUP(ROW(A119)*12/118,0),RANDBETWEEN(1,28))</f>
        <v>46042</v>
      </c>
      <c r="Q118" s="2">
        <f t="shared" ca="1" si="4"/>
        <v>46779</v>
      </c>
      <c r="R118" s="2">
        <f ca="1">Activity_OMEGA_AUG23[[#This Row],[Actual Start]]</f>
        <v>46042</v>
      </c>
      <c r="S118" s="2">
        <f t="shared" ca="1" si="5"/>
        <v>46777</v>
      </c>
    </row>
    <row r="119" spans="1:19" x14ac:dyDescent="0.3">
      <c r="A119" t="s">
        <v>19</v>
      </c>
      <c r="B119" t="s">
        <v>301</v>
      </c>
      <c r="C119" t="s">
        <v>192</v>
      </c>
      <c r="D119" t="s">
        <v>302</v>
      </c>
      <c r="E119" t="s">
        <v>303</v>
      </c>
      <c r="F119" t="s">
        <v>161</v>
      </c>
      <c r="G119" t="s">
        <v>61</v>
      </c>
      <c r="H119" t="s">
        <v>27</v>
      </c>
      <c r="I119" t="s">
        <v>27</v>
      </c>
      <c r="J119" t="s">
        <v>200</v>
      </c>
      <c r="K119" t="s">
        <v>27</v>
      </c>
      <c r="L119" t="s">
        <v>27</v>
      </c>
      <c r="M119" t="s">
        <v>201</v>
      </c>
      <c r="N119" s="2">
        <f ca="1">DATE(2025,ROUNDUP(ROW(A120)*12/118,0),RANDBETWEEN(1,28))</f>
        <v>46029</v>
      </c>
      <c r="O119" s="2">
        <f ca="1">DATE(2027,ROUNDUP(ROW(A120)*12/118,0),RANDBETWEEN(1,28))</f>
        <v>46762</v>
      </c>
      <c r="P119" s="2">
        <f ca="1">DATE(2025,ROUNDUP(ROW(A120)*12/118,0),RANDBETWEEN(1,28))</f>
        <v>46043</v>
      </c>
      <c r="Q119" s="2">
        <f t="shared" ca="1" si="4"/>
        <v>46777</v>
      </c>
      <c r="R119" s="2">
        <f ca="1">Activity_OMEGA_AUG23[[#This Row],[Actual Start]]</f>
        <v>46043</v>
      </c>
      <c r="S119" s="2">
        <f t="shared" si="5"/>
        <v>0</v>
      </c>
    </row>
    <row r="120" spans="1:19" x14ac:dyDescent="0.3">
      <c r="N120" s="2"/>
      <c r="O120" s="2"/>
      <c r="R120" s="2"/>
      <c r="S120" s="2"/>
    </row>
    <row r="121" spans="1:19" x14ac:dyDescent="0.3">
      <c r="N121" s="2"/>
      <c r="O121" s="2"/>
      <c r="R121" s="2"/>
      <c r="S121" s="2"/>
    </row>
    <row r="122" spans="1:19" x14ac:dyDescent="0.3">
      <c r="N122" s="2"/>
      <c r="O122" s="2"/>
      <c r="R122" s="2"/>
      <c r="S122" s="2"/>
    </row>
    <row r="123" spans="1:19" x14ac:dyDescent="0.3">
      <c r="N123" s="2"/>
      <c r="O123" s="2"/>
      <c r="R123" s="2"/>
      <c r="S123" s="2"/>
    </row>
    <row r="124" spans="1:19" x14ac:dyDescent="0.3">
      <c r="N124" s="2"/>
      <c r="O124" s="2"/>
      <c r="R124" s="2"/>
      <c r="S124" s="2"/>
    </row>
    <row r="125" spans="1:19" x14ac:dyDescent="0.3">
      <c r="N125" s="2"/>
      <c r="O125" s="2"/>
      <c r="R125" s="2"/>
      <c r="S125" s="2"/>
    </row>
    <row r="126" spans="1:19" x14ac:dyDescent="0.3">
      <c r="N126" s="2"/>
      <c r="O126" s="2"/>
      <c r="R126" s="2"/>
      <c r="S126" s="2"/>
    </row>
    <row r="127" spans="1:19" x14ac:dyDescent="0.3">
      <c r="N127" s="2"/>
      <c r="O127" s="2"/>
      <c r="R127" s="2"/>
      <c r="S127" s="2"/>
    </row>
    <row r="128" spans="1:19" x14ac:dyDescent="0.3">
      <c r="N128" s="2"/>
      <c r="O128" s="2"/>
      <c r="R128" s="2"/>
      <c r="S128" s="2"/>
    </row>
    <row r="129" spans="14:19" x14ac:dyDescent="0.3">
      <c r="N129" s="2"/>
      <c r="O129" s="2"/>
      <c r="R129" s="2"/>
      <c r="S129" s="2"/>
    </row>
    <row r="130" spans="14:19" x14ac:dyDescent="0.3">
      <c r="N130" s="2"/>
      <c r="O130" s="2"/>
      <c r="R130" s="2"/>
      <c r="S130" s="2"/>
    </row>
    <row r="131" spans="14:19" x14ac:dyDescent="0.3">
      <c r="N131" s="2"/>
      <c r="O131" s="2"/>
      <c r="R131" s="2"/>
      <c r="S131" s="2"/>
    </row>
    <row r="132" spans="14:19" x14ac:dyDescent="0.3">
      <c r="N132" s="2"/>
      <c r="O132" s="2"/>
      <c r="R132" s="2"/>
      <c r="S132" s="2"/>
    </row>
    <row r="133" spans="14:19" x14ac:dyDescent="0.3">
      <c r="N133" s="2"/>
      <c r="O133" s="2"/>
      <c r="R133" s="2"/>
      <c r="S133" s="2"/>
    </row>
    <row r="134" spans="14:19" x14ac:dyDescent="0.3">
      <c r="N134" s="2"/>
      <c r="O134" s="2"/>
      <c r="R134" s="2"/>
      <c r="S134" s="2"/>
    </row>
    <row r="135" spans="14:19" x14ac:dyDescent="0.3">
      <c r="N135" s="2"/>
      <c r="O135" s="2"/>
      <c r="R135" s="2"/>
      <c r="S135" s="2"/>
    </row>
    <row r="136" spans="14:19" x14ac:dyDescent="0.3">
      <c r="N136" s="2"/>
      <c r="O136" s="2"/>
      <c r="R136" s="2"/>
      <c r="S136" s="2"/>
    </row>
    <row r="137" spans="14:19" x14ac:dyDescent="0.3">
      <c r="N137" s="2"/>
      <c r="O137" s="2"/>
      <c r="R137" s="2"/>
      <c r="S137" s="2"/>
    </row>
    <row r="138" spans="14:19" x14ac:dyDescent="0.3">
      <c r="N138" s="2"/>
      <c r="O138" s="2"/>
      <c r="R138" s="2"/>
      <c r="S138" s="2"/>
    </row>
    <row r="139" spans="14:19" x14ac:dyDescent="0.3">
      <c r="N139" s="2"/>
      <c r="O139" s="2"/>
      <c r="R139" s="2"/>
      <c r="S139" s="2"/>
    </row>
    <row r="140" spans="14:19" x14ac:dyDescent="0.3">
      <c r="N140" s="2"/>
      <c r="O140" s="2"/>
      <c r="R140" s="2"/>
      <c r="S140" s="2"/>
    </row>
    <row r="141" spans="14:19" x14ac:dyDescent="0.3">
      <c r="N141" s="2"/>
      <c r="O141" s="2"/>
      <c r="R141" s="2"/>
      <c r="S141" s="2"/>
    </row>
    <row r="142" spans="14:19" x14ac:dyDescent="0.3">
      <c r="N142" s="2"/>
      <c r="O142" s="2"/>
      <c r="R142" s="2"/>
      <c r="S142" s="2"/>
    </row>
    <row r="143" spans="14:19" x14ac:dyDescent="0.3">
      <c r="N143" s="2"/>
      <c r="O143" s="2"/>
      <c r="R143" s="2"/>
      <c r="S143" s="2"/>
    </row>
    <row r="144" spans="14:19" x14ac:dyDescent="0.3">
      <c r="N144" s="2"/>
      <c r="O144" s="2"/>
      <c r="R144" s="2"/>
      <c r="S144" s="2"/>
    </row>
    <row r="145" spans="14:19" x14ac:dyDescent="0.3">
      <c r="N145" s="2"/>
      <c r="O145" s="2"/>
      <c r="R145" s="2"/>
      <c r="S145" s="2"/>
    </row>
    <row r="146" spans="14:19" x14ac:dyDescent="0.3">
      <c r="N146" s="2"/>
      <c r="O146" s="2"/>
      <c r="R146" s="2"/>
      <c r="S146" s="2"/>
    </row>
    <row r="147" spans="14:19" x14ac:dyDescent="0.3">
      <c r="N147" s="2"/>
      <c r="O147" s="2"/>
      <c r="R147" s="2"/>
      <c r="S147" s="2"/>
    </row>
    <row r="148" spans="14:19" x14ac:dyDescent="0.3">
      <c r="N148" s="2"/>
      <c r="O148" s="2"/>
      <c r="R148" s="2"/>
      <c r="S148" s="2"/>
    </row>
    <row r="149" spans="14:19" x14ac:dyDescent="0.3">
      <c r="N149" s="2"/>
      <c r="O149" s="2"/>
      <c r="R149" s="2"/>
      <c r="S149" s="2"/>
    </row>
    <row r="150" spans="14:19" x14ac:dyDescent="0.3">
      <c r="N150" s="2"/>
      <c r="O150" s="2"/>
      <c r="R150" s="2"/>
      <c r="S150" s="2"/>
    </row>
    <row r="151" spans="14:19" x14ac:dyDescent="0.3">
      <c r="N151" s="2"/>
      <c r="O151" s="2"/>
      <c r="R151" s="2"/>
      <c r="S151" s="2"/>
    </row>
    <row r="152" spans="14:19" x14ac:dyDescent="0.3">
      <c r="N152" s="2"/>
      <c r="O152" s="2"/>
      <c r="R152" s="2"/>
      <c r="S152" s="2"/>
    </row>
    <row r="153" spans="14:19" x14ac:dyDescent="0.3">
      <c r="N153" s="2"/>
      <c r="O153" s="2"/>
      <c r="R153" s="2"/>
      <c r="S153" s="2"/>
    </row>
    <row r="154" spans="14:19" x14ac:dyDescent="0.3">
      <c r="N154" s="2"/>
      <c r="O154" s="2"/>
      <c r="R154" s="2"/>
      <c r="S154" s="2"/>
    </row>
    <row r="155" spans="14:19" x14ac:dyDescent="0.3">
      <c r="N155" s="2"/>
      <c r="O155" s="2"/>
      <c r="R155" s="2"/>
      <c r="S155" s="2"/>
    </row>
    <row r="156" spans="14:19" x14ac:dyDescent="0.3">
      <c r="N156" s="2"/>
      <c r="O156" s="2"/>
      <c r="R156" s="2"/>
      <c r="S156" s="2"/>
    </row>
    <row r="157" spans="14:19" x14ac:dyDescent="0.3">
      <c r="N157" s="2"/>
      <c r="O157" s="2"/>
      <c r="R157" s="2"/>
      <c r="S157" s="2"/>
    </row>
    <row r="158" spans="14:19" x14ac:dyDescent="0.3">
      <c r="N158" s="2"/>
      <c r="O158" s="2"/>
      <c r="R158" s="2"/>
      <c r="S158" s="2"/>
    </row>
    <row r="159" spans="14:19" x14ac:dyDescent="0.3">
      <c r="N159" s="2"/>
      <c r="O159" s="2"/>
      <c r="R159" s="2"/>
      <c r="S159" s="2"/>
    </row>
    <row r="160" spans="14:19" x14ac:dyDescent="0.3">
      <c r="N160" s="2"/>
      <c r="O160" s="2"/>
      <c r="R160" s="2"/>
      <c r="S160" s="2"/>
    </row>
    <row r="161" spans="14:19" x14ac:dyDescent="0.3">
      <c r="N161" s="2"/>
      <c r="O161" s="2"/>
      <c r="R161" s="2"/>
      <c r="S161" s="2"/>
    </row>
    <row r="162" spans="14:19" x14ac:dyDescent="0.3">
      <c r="N162" s="2"/>
      <c r="O162" s="2"/>
      <c r="R162" s="2"/>
      <c r="S162" s="2"/>
    </row>
    <row r="163" spans="14:19" x14ac:dyDescent="0.3">
      <c r="N163" s="2"/>
      <c r="O163" s="2"/>
      <c r="R163" s="2"/>
      <c r="S163" s="2"/>
    </row>
    <row r="164" spans="14:19" x14ac:dyDescent="0.3">
      <c r="N164" s="2"/>
      <c r="O164" s="2"/>
      <c r="R164" s="2"/>
      <c r="S164" s="2"/>
    </row>
    <row r="165" spans="14:19" x14ac:dyDescent="0.3">
      <c r="N165" s="2"/>
      <c r="O165" s="2"/>
      <c r="R165" s="2"/>
      <c r="S165" s="2"/>
    </row>
    <row r="166" spans="14:19" x14ac:dyDescent="0.3">
      <c r="N166" s="2"/>
      <c r="O166" s="2"/>
      <c r="R166" s="2"/>
      <c r="S166" s="2"/>
    </row>
    <row r="167" spans="14:19" x14ac:dyDescent="0.3">
      <c r="N167" s="2"/>
      <c r="O167" s="2"/>
      <c r="R167" s="2"/>
      <c r="S167" s="2"/>
    </row>
    <row r="168" spans="14:19" x14ac:dyDescent="0.3">
      <c r="N168" s="2"/>
      <c r="O168" s="2"/>
      <c r="R168" s="2"/>
      <c r="S168" s="2"/>
    </row>
    <row r="169" spans="14:19" x14ac:dyDescent="0.3">
      <c r="N169" s="2"/>
      <c r="O169" s="2"/>
      <c r="R169" s="2"/>
      <c r="S169" s="2"/>
    </row>
    <row r="170" spans="14:19" x14ac:dyDescent="0.3">
      <c r="N170" s="2"/>
      <c r="O170" s="2"/>
      <c r="R170" s="2"/>
      <c r="S170" s="2"/>
    </row>
    <row r="171" spans="14:19" x14ac:dyDescent="0.3">
      <c r="N171" s="2"/>
      <c r="O171" s="2"/>
      <c r="R171" s="2"/>
      <c r="S171" s="2"/>
    </row>
    <row r="172" spans="14:19" x14ac:dyDescent="0.3">
      <c r="N172" s="2"/>
      <c r="O172" s="2"/>
      <c r="R172" s="2"/>
      <c r="S172" s="2"/>
    </row>
    <row r="173" spans="14:19" x14ac:dyDescent="0.3">
      <c r="N173" s="2"/>
      <c r="O173" s="2"/>
      <c r="R173" s="2"/>
      <c r="S173" s="2"/>
    </row>
    <row r="174" spans="14:19" x14ac:dyDescent="0.3">
      <c r="N174" s="2"/>
      <c r="O174" s="2"/>
      <c r="R174" s="2"/>
      <c r="S174" s="2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568"/>
  <sheetViews>
    <sheetView workbookViewId="0">
      <selection activeCell="C1" sqref="C1:D1048576"/>
    </sheetView>
  </sheetViews>
  <sheetFormatPr defaultRowHeight="14.4" x14ac:dyDescent="0.3"/>
  <cols>
    <col min="2" max="2" width="9.5546875" bestFit="1" customWidth="1"/>
    <col min="3" max="4" width="9.5546875" customWidth="1"/>
    <col min="6" max="6" width="17.33203125" bestFit="1" customWidth="1"/>
    <col min="12" max="13" width="12" bestFit="1" customWidth="1"/>
  </cols>
  <sheetData>
    <row r="1" spans="1:66" x14ac:dyDescent="0.3">
      <c r="A1" t="s">
        <v>0</v>
      </c>
      <c r="B1" t="s">
        <v>1</v>
      </c>
      <c r="C1" t="s">
        <v>5</v>
      </c>
      <c r="D1" t="s">
        <v>6</v>
      </c>
      <c r="E1" t="s">
        <v>381</v>
      </c>
      <c r="F1" t="s">
        <v>382</v>
      </c>
      <c r="G1" s="1">
        <v>44927</v>
      </c>
      <c r="H1" s="1">
        <v>44934</v>
      </c>
      <c r="I1" s="1">
        <v>44941</v>
      </c>
      <c r="J1" s="1">
        <v>44948</v>
      </c>
      <c r="K1" s="1">
        <v>44955</v>
      </c>
      <c r="L1" s="1">
        <v>44962</v>
      </c>
      <c r="M1" s="1">
        <v>44969</v>
      </c>
      <c r="N1" s="1">
        <v>44976</v>
      </c>
      <c r="O1" s="1">
        <v>44983</v>
      </c>
      <c r="P1" s="1">
        <v>44990</v>
      </c>
      <c r="Q1" s="1">
        <v>44997</v>
      </c>
      <c r="R1" s="1">
        <v>45004</v>
      </c>
      <c r="S1" s="1">
        <v>45011</v>
      </c>
      <c r="T1" s="1">
        <v>45018</v>
      </c>
      <c r="U1" s="1">
        <v>45025</v>
      </c>
      <c r="V1" s="1">
        <v>45032</v>
      </c>
      <c r="W1" s="1">
        <v>45039</v>
      </c>
      <c r="X1" s="1">
        <v>45046</v>
      </c>
      <c r="Y1" s="1">
        <v>45053</v>
      </c>
      <c r="Z1" s="1">
        <v>45060</v>
      </c>
      <c r="AA1" s="1">
        <v>45067</v>
      </c>
      <c r="AB1" s="1">
        <v>45074</v>
      </c>
      <c r="AC1" s="1">
        <v>45081</v>
      </c>
      <c r="AD1" s="1">
        <v>45088</v>
      </c>
      <c r="AE1" s="1">
        <v>45095</v>
      </c>
      <c r="AF1" s="1">
        <v>45102</v>
      </c>
      <c r="AG1" s="1">
        <v>45109</v>
      </c>
      <c r="AH1" s="1">
        <v>45116</v>
      </c>
      <c r="AI1" s="1">
        <v>45123</v>
      </c>
      <c r="AJ1" s="1">
        <v>45130</v>
      </c>
      <c r="AK1" s="1">
        <v>45137</v>
      </c>
      <c r="AL1" s="1">
        <v>45144</v>
      </c>
      <c r="AM1" s="1">
        <v>45151</v>
      </c>
      <c r="AN1" s="1">
        <v>45158</v>
      </c>
      <c r="AO1" s="1">
        <v>45165</v>
      </c>
      <c r="AP1" s="1">
        <v>45172</v>
      </c>
      <c r="AQ1" s="1">
        <v>45179</v>
      </c>
      <c r="AR1" s="1">
        <v>45186</v>
      </c>
      <c r="AS1" s="1">
        <v>45193</v>
      </c>
      <c r="AT1" s="1">
        <v>45200</v>
      </c>
      <c r="AU1" s="1">
        <v>45207</v>
      </c>
      <c r="AV1" s="1">
        <v>45214</v>
      </c>
      <c r="AW1" s="1">
        <v>45221</v>
      </c>
      <c r="AX1" s="1">
        <v>45228</v>
      </c>
      <c r="AY1" s="1">
        <v>45235</v>
      </c>
      <c r="AZ1" s="1">
        <v>45242</v>
      </c>
      <c r="BA1" s="1">
        <v>45249</v>
      </c>
      <c r="BB1" s="1">
        <v>45256</v>
      </c>
      <c r="BC1" s="1">
        <v>45263</v>
      </c>
      <c r="BD1" s="1">
        <v>45270</v>
      </c>
      <c r="BE1" s="1">
        <v>45277</v>
      </c>
      <c r="BF1" s="1">
        <v>45284</v>
      </c>
      <c r="BG1" s="1">
        <v>45291</v>
      </c>
      <c r="BH1" s="1"/>
      <c r="BI1" s="1"/>
      <c r="BJ1" s="1"/>
      <c r="BK1" s="1"/>
      <c r="BL1" s="1"/>
      <c r="BM1" s="1"/>
      <c r="BN1" s="1"/>
    </row>
    <row r="2" spans="1:66" x14ac:dyDescent="0.3">
      <c r="A2" t="s">
        <v>19</v>
      </c>
      <c r="B2" t="s">
        <v>125</v>
      </c>
      <c r="C2" t="s">
        <v>128</v>
      </c>
      <c r="D2" t="s">
        <v>40</v>
      </c>
      <c r="E2" t="s">
        <v>383</v>
      </c>
      <c r="F2" t="s">
        <v>384</v>
      </c>
      <c r="AB2">
        <v>13720962.130000001</v>
      </c>
      <c r="AC2">
        <v>6860481.0700000003</v>
      </c>
    </row>
    <row r="3" spans="1:66" x14ac:dyDescent="0.3">
      <c r="A3" t="s">
        <v>19</v>
      </c>
      <c r="B3" t="s">
        <v>125</v>
      </c>
      <c r="C3" t="s">
        <v>128</v>
      </c>
      <c r="D3" t="s">
        <v>40</v>
      </c>
      <c r="E3" t="s">
        <v>383</v>
      </c>
      <c r="F3" t="s">
        <v>385</v>
      </c>
    </row>
    <row r="4" spans="1:66" x14ac:dyDescent="0.3">
      <c r="A4" t="s">
        <v>19</v>
      </c>
      <c r="B4" t="s">
        <v>125</v>
      </c>
      <c r="C4" t="s">
        <v>128</v>
      </c>
      <c r="D4" t="s">
        <v>40</v>
      </c>
      <c r="E4" t="s">
        <v>383</v>
      </c>
      <c r="F4" t="s">
        <v>386</v>
      </c>
      <c r="AB4">
        <v>13720962.130000001</v>
      </c>
      <c r="AC4">
        <v>6860481.0700000003</v>
      </c>
    </row>
    <row r="5" spans="1:66" x14ac:dyDescent="0.3">
      <c r="A5" t="s">
        <v>19</v>
      </c>
      <c r="B5" t="s">
        <v>131</v>
      </c>
      <c r="C5" t="s">
        <v>128</v>
      </c>
      <c r="D5" t="s">
        <v>40</v>
      </c>
      <c r="E5" t="s">
        <v>383</v>
      </c>
      <c r="F5" t="s">
        <v>384</v>
      </c>
      <c r="AI5">
        <v>6068664.7999999998</v>
      </c>
    </row>
    <row r="6" spans="1:66" x14ac:dyDescent="0.3">
      <c r="A6" t="s">
        <v>19</v>
      </c>
      <c r="B6" t="s">
        <v>131</v>
      </c>
      <c r="C6" t="s">
        <v>128</v>
      </c>
      <c r="D6" t="s">
        <v>40</v>
      </c>
      <c r="E6" t="s">
        <v>383</v>
      </c>
      <c r="F6" t="s">
        <v>385</v>
      </c>
    </row>
    <row r="7" spans="1:66" x14ac:dyDescent="0.3">
      <c r="A7" t="s">
        <v>19</v>
      </c>
      <c r="B7" t="s">
        <v>131</v>
      </c>
      <c r="C7" t="s">
        <v>128</v>
      </c>
      <c r="D7" t="s">
        <v>40</v>
      </c>
      <c r="E7" t="s">
        <v>383</v>
      </c>
      <c r="F7" t="s">
        <v>386</v>
      </c>
      <c r="AI7">
        <v>6068664.7999999998</v>
      </c>
    </row>
    <row r="8" spans="1:66" x14ac:dyDescent="0.3">
      <c r="A8" t="s">
        <v>19</v>
      </c>
      <c r="B8" t="s">
        <v>134</v>
      </c>
      <c r="C8" t="s">
        <v>128</v>
      </c>
      <c r="D8" t="s">
        <v>45</v>
      </c>
      <c r="E8" t="s">
        <v>383</v>
      </c>
      <c r="F8" t="s">
        <v>384</v>
      </c>
      <c r="Y8">
        <v>55022560.439999998</v>
      </c>
      <c r="Z8">
        <v>15720731.560000001</v>
      </c>
    </row>
    <row r="9" spans="1:66" x14ac:dyDescent="0.3">
      <c r="A9" t="s">
        <v>19</v>
      </c>
      <c r="B9" t="s">
        <v>134</v>
      </c>
      <c r="C9" t="s">
        <v>128</v>
      </c>
      <c r="D9" t="s">
        <v>45</v>
      </c>
      <c r="E9" t="s">
        <v>383</v>
      </c>
      <c r="F9" t="s">
        <v>385</v>
      </c>
    </row>
    <row r="10" spans="1:66" x14ac:dyDescent="0.3">
      <c r="A10" t="s">
        <v>19</v>
      </c>
      <c r="B10" t="s">
        <v>134</v>
      </c>
      <c r="C10" t="s">
        <v>128</v>
      </c>
      <c r="D10" t="s">
        <v>45</v>
      </c>
      <c r="E10" t="s">
        <v>383</v>
      </c>
      <c r="F10" t="s">
        <v>386</v>
      </c>
      <c r="Y10">
        <v>55022560.439999998</v>
      </c>
      <c r="Z10">
        <v>15720731.560000001</v>
      </c>
    </row>
    <row r="11" spans="1:66" x14ac:dyDescent="0.3">
      <c r="A11" t="s">
        <v>19</v>
      </c>
      <c r="B11" t="s">
        <v>138</v>
      </c>
      <c r="C11" t="s">
        <v>128</v>
      </c>
      <c r="D11" t="s">
        <v>31</v>
      </c>
      <c r="E11" t="s">
        <v>383</v>
      </c>
      <c r="F11" t="s">
        <v>384</v>
      </c>
      <c r="AK11">
        <v>26055725.329999998</v>
      </c>
      <c r="AL11">
        <v>20844580.27</v>
      </c>
    </row>
    <row r="12" spans="1:66" x14ac:dyDescent="0.3">
      <c r="A12" t="s">
        <v>19</v>
      </c>
      <c r="B12" t="s">
        <v>138</v>
      </c>
      <c r="C12" t="s">
        <v>128</v>
      </c>
      <c r="D12" t="s">
        <v>31</v>
      </c>
      <c r="E12" t="s">
        <v>383</v>
      </c>
      <c r="F12" t="s">
        <v>385</v>
      </c>
    </row>
    <row r="13" spans="1:66" x14ac:dyDescent="0.3">
      <c r="A13" t="s">
        <v>19</v>
      </c>
      <c r="B13" t="s">
        <v>138</v>
      </c>
      <c r="C13" t="s">
        <v>128</v>
      </c>
      <c r="D13" t="s">
        <v>31</v>
      </c>
      <c r="E13" t="s">
        <v>383</v>
      </c>
      <c r="F13" t="s">
        <v>386</v>
      </c>
      <c r="AK13">
        <v>26055725.329999998</v>
      </c>
      <c r="AL13">
        <v>20844580.27</v>
      </c>
    </row>
    <row r="14" spans="1:66" x14ac:dyDescent="0.3">
      <c r="A14" t="s">
        <v>19</v>
      </c>
      <c r="B14" t="s">
        <v>141</v>
      </c>
      <c r="C14" t="s">
        <v>128</v>
      </c>
      <c r="D14" t="s">
        <v>31</v>
      </c>
      <c r="E14" t="s">
        <v>383</v>
      </c>
      <c r="F14" t="s">
        <v>384</v>
      </c>
      <c r="AE14">
        <v>3666166.93</v>
      </c>
      <c r="AG14">
        <v>1833083.47</v>
      </c>
    </row>
    <row r="15" spans="1:66" x14ac:dyDescent="0.3">
      <c r="A15" t="s">
        <v>19</v>
      </c>
      <c r="B15" t="s">
        <v>141</v>
      </c>
      <c r="C15" t="s">
        <v>128</v>
      </c>
      <c r="D15" t="s">
        <v>31</v>
      </c>
      <c r="E15" t="s">
        <v>383</v>
      </c>
      <c r="F15" t="s">
        <v>385</v>
      </c>
    </row>
    <row r="16" spans="1:66" x14ac:dyDescent="0.3">
      <c r="A16" t="s">
        <v>19</v>
      </c>
      <c r="B16" t="s">
        <v>141</v>
      </c>
      <c r="C16" t="s">
        <v>128</v>
      </c>
      <c r="D16" t="s">
        <v>31</v>
      </c>
      <c r="E16" t="s">
        <v>383</v>
      </c>
      <c r="F16" t="s">
        <v>386</v>
      </c>
      <c r="AE16">
        <v>3666166.93</v>
      </c>
      <c r="AG16">
        <v>1833083.47</v>
      </c>
    </row>
    <row r="17" spans="1:39" x14ac:dyDescent="0.3">
      <c r="A17" t="s">
        <v>19</v>
      </c>
      <c r="B17" t="s">
        <v>144</v>
      </c>
      <c r="C17" t="s">
        <v>128</v>
      </c>
      <c r="D17" t="s">
        <v>61</v>
      </c>
      <c r="E17" t="s">
        <v>383</v>
      </c>
      <c r="F17" t="s">
        <v>384</v>
      </c>
      <c r="AJ17">
        <v>594660</v>
      </c>
    </row>
    <row r="18" spans="1:39" x14ac:dyDescent="0.3">
      <c r="A18" t="s">
        <v>19</v>
      </c>
      <c r="B18" t="s">
        <v>144</v>
      </c>
      <c r="C18" t="s">
        <v>128</v>
      </c>
      <c r="D18" t="s">
        <v>61</v>
      </c>
      <c r="E18" t="s">
        <v>383</v>
      </c>
      <c r="F18" t="s">
        <v>385</v>
      </c>
    </row>
    <row r="19" spans="1:39" x14ac:dyDescent="0.3">
      <c r="A19" t="s">
        <v>19</v>
      </c>
      <c r="B19" t="s">
        <v>144</v>
      </c>
      <c r="C19" t="s">
        <v>128</v>
      </c>
      <c r="D19" t="s">
        <v>61</v>
      </c>
      <c r="E19" t="s">
        <v>383</v>
      </c>
      <c r="F19" t="s">
        <v>386</v>
      </c>
      <c r="AJ19">
        <v>594660</v>
      </c>
    </row>
    <row r="20" spans="1:39" x14ac:dyDescent="0.3">
      <c r="A20" t="s">
        <v>19</v>
      </c>
      <c r="B20" t="s">
        <v>148</v>
      </c>
      <c r="C20" t="s">
        <v>128</v>
      </c>
      <c r="D20" t="s">
        <v>64</v>
      </c>
      <c r="E20" t="s">
        <v>383</v>
      </c>
      <c r="F20" t="s">
        <v>384</v>
      </c>
      <c r="AJ20">
        <v>400184.8</v>
      </c>
    </row>
    <row r="21" spans="1:39" x14ac:dyDescent="0.3">
      <c r="A21" t="s">
        <v>19</v>
      </c>
      <c r="B21" t="s">
        <v>148</v>
      </c>
      <c r="C21" t="s">
        <v>128</v>
      </c>
      <c r="D21" t="s">
        <v>64</v>
      </c>
      <c r="E21" t="s">
        <v>383</v>
      </c>
      <c r="F21" t="s">
        <v>385</v>
      </c>
    </row>
    <row r="22" spans="1:39" x14ac:dyDescent="0.3">
      <c r="A22" t="s">
        <v>19</v>
      </c>
      <c r="B22" t="s">
        <v>148</v>
      </c>
      <c r="C22" t="s">
        <v>128</v>
      </c>
      <c r="D22" t="s">
        <v>64</v>
      </c>
      <c r="E22" t="s">
        <v>383</v>
      </c>
      <c r="F22" t="s">
        <v>386</v>
      </c>
      <c r="AJ22">
        <v>400184.8</v>
      </c>
    </row>
    <row r="23" spans="1:39" x14ac:dyDescent="0.3">
      <c r="A23" t="s">
        <v>19</v>
      </c>
      <c r="B23" t="s">
        <v>151</v>
      </c>
      <c r="C23" t="s">
        <v>128</v>
      </c>
      <c r="D23" t="s">
        <v>35</v>
      </c>
      <c r="E23" t="s">
        <v>383</v>
      </c>
      <c r="F23" t="s">
        <v>384</v>
      </c>
      <c r="AL23">
        <v>4371866</v>
      </c>
      <c r="AM23">
        <v>4371866</v>
      </c>
    </row>
    <row r="24" spans="1:39" x14ac:dyDescent="0.3">
      <c r="A24" t="s">
        <v>19</v>
      </c>
      <c r="B24" t="s">
        <v>151</v>
      </c>
      <c r="C24" t="s">
        <v>128</v>
      </c>
      <c r="D24" t="s">
        <v>35</v>
      </c>
      <c r="E24" t="s">
        <v>383</v>
      </c>
      <c r="F24" t="s">
        <v>385</v>
      </c>
    </row>
    <row r="25" spans="1:39" x14ac:dyDescent="0.3">
      <c r="A25" t="s">
        <v>19</v>
      </c>
      <c r="B25" t="s">
        <v>151</v>
      </c>
      <c r="C25" t="s">
        <v>128</v>
      </c>
      <c r="D25" t="s">
        <v>35</v>
      </c>
      <c r="E25" t="s">
        <v>383</v>
      </c>
      <c r="F25" t="s">
        <v>386</v>
      </c>
      <c r="AL25">
        <v>4371866</v>
      </c>
      <c r="AM25">
        <v>4371866</v>
      </c>
    </row>
    <row r="26" spans="1:39" x14ac:dyDescent="0.3">
      <c r="A26" t="s">
        <v>19</v>
      </c>
      <c r="B26" t="s">
        <v>155</v>
      </c>
      <c r="C26" t="s">
        <v>128</v>
      </c>
      <c r="D26" t="s">
        <v>35</v>
      </c>
      <c r="E26" t="s">
        <v>383</v>
      </c>
      <c r="F26" t="s">
        <v>384</v>
      </c>
      <c r="AK26">
        <v>1846608</v>
      </c>
      <c r="AL26">
        <v>1477286.4</v>
      </c>
    </row>
    <row r="27" spans="1:39" x14ac:dyDescent="0.3">
      <c r="A27" t="s">
        <v>19</v>
      </c>
      <c r="B27" t="s">
        <v>155</v>
      </c>
      <c r="C27" t="s">
        <v>128</v>
      </c>
      <c r="D27" t="s">
        <v>35</v>
      </c>
      <c r="E27" t="s">
        <v>383</v>
      </c>
      <c r="F27" t="s">
        <v>385</v>
      </c>
    </row>
    <row r="28" spans="1:39" x14ac:dyDescent="0.3">
      <c r="A28" t="s">
        <v>19</v>
      </c>
      <c r="B28" t="s">
        <v>155</v>
      </c>
      <c r="C28" t="s">
        <v>128</v>
      </c>
      <c r="D28" t="s">
        <v>35</v>
      </c>
      <c r="E28" t="s">
        <v>383</v>
      </c>
      <c r="F28" t="s">
        <v>386</v>
      </c>
      <c r="AK28">
        <v>1846608</v>
      </c>
      <c r="AL28">
        <v>1477286.4</v>
      </c>
    </row>
    <row r="29" spans="1:39" x14ac:dyDescent="0.3">
      <c r="A29" t="s">
        <v>19</v>
      </c>
      <c r="B29" t="s">
        <v>158</v>
      </c>
      <c r="C29" t="s">
        <v>161</v>
      </c>
      <c r="D29" t="s">
        <v>40</v>
      </c>
      <c r="E29" t="s">
        <v>383</v>
      </c>
      <c r="F29" t="s">
        <v>384</v>
      </c>
      <c r="J29">
        <v>266754.40000000002</v>
      </c>
      <c r="K29">
        <v>373456.16</v>
      </c>
      <c r="L29">
        <v>373456.16</v>
      </c>
      <c r="M29">
        <v>53350.879999999997</v>
      </c>
    </row>
    <row r="30" spans="1:39" x14ac:dyDescent="0.3">
      <c r="A30" t="s">
        <v>19</v>
      </c>
      <c r="B30" t="s">
        <v>158</v>
      </c>
      <c r="C30" t="s">
        <v>161</v>
      </c>
      <c r="D30" t="s">
        <v>40</v>
      </c>
      <c r="E30" t="s">
        <v>383</v>
      </c>
      <c r="F30" t="s">
        <v>385</v>
      </c>
    </row>
    <row r="31" spans="1:39" x14ac:dyDescent="0.3">
      <c r="A31" t="s">
        <v>19</v>
      </c>
      <c r="B31" t="s">
        <v>158</v>
      </c>
      <c r="C31" t="s">
        <v>161</v>
      </c>
      <c r="D31" t="s">
        <v>40</v>
      </c>
      <c r="E31" t="s">
        <v>383</v>
      </c>
      <c r="F31" t="s">
        <v>386</v>
      </c>
      <c r="J31">
        <v>266754.40000000002</v>
      </c>
      <c r="K31">
        <v>373456.16</v>
      </c>
      <c r="L31">
        <v>373456.16</v>
      </c>
      <c r="M31">
        <v>53350.879999999997</v>
      </c>
    </row>
    <row r="32" spans="1:39" x14ac:dyDescent="0.3">
      <c r="A32" t="s">
        <v>19</v>
      </c>
      <c r="B32" t="s">
        <v>164</v>
      </c>
      <c r="C32" t="s">
        <v>161</v>
      </c>
      <c r="D32" t="s">
        <v>40</v>
      </c>
      <c r="E32" t="s">
        <v>383</v>
      </c>
      <c r="F32" t="s">
        <v>384</v>
      </c>
      <c r="U32">
        <v>193396.96</v>
      </c>
      <c r="W32">
        <v>96698.48</v>
      </c>
      <c r="X32">
        <v>676889.36</v>
      </c>
    </row>
    <row r="33" spans="1:38" x14ac:dyDescent="0.3">
      <c r="A33" t="s">
        <v>19</v>
      </c>
      <c r="B33" t="s">
        <v>164</v>
      </c>
      <c r="C33" t="s">
        <v>161</v>
      </c>
      <c r="D33" t="s">
        <v>40</v>
      </c>
      <c r="E33" t="s">
        <v>383</v>
      </c>
      <c r="F33" t="s">
        <v>385</v>
      </c>
    </row>
    <row r="34" spans="1:38" x14ac:dyDescent="0.3">
      <c r="A34" t="s">
        <v>19</v>
      </c>
      <c r="B34" t="s">
        <v>164</v>
      </c>
      <c r="C34" t="s">
        <v>161</v>
      </c>
      <c r="D34" t="s">
        <v>40</v>
      </c>
      <c r="E34" t="s">
        <v>383</v>
      </c>
      <c r="F34" t="s">
        <v>386</v>
      </c>
      <c r="U34">
        <v>193396.96</v>
      </c>
      <c r="W34">
        <v>96698.48</v>
      </c>
      <c r="X34">
        <v>676889.36</v>
      </c>
    </row>
    <row r="35" spans="1:38" x14ac:dyDescent="0.3">
      <c r="A35" t="s">
        <v>19</v>
      </c>
      <c r="B35" t="s">
        <v>167</v>
      </c>
      <c r="C35" t="s">
        <v>161</v>
      </c>
      <c r="D35" t="s">
        <v>40</v>
      </c>
      <c r="E35" t="s">
        <v>383</v>
      </c>
      <c r="F35" t="s">
        <v>384</v>
      </c>
      <c r="M35">
        <v>60019.8</v>
      </c>
      <c r="N35">
        <v>70023.100000000006</v>
      </c>
      <c r="O35">
        <v>30009.9</v>
      </c>
    </row>
    <row r="36" spans="1:38" x14ac:dyDescent="0.3">
      <c r="A36" t="s">
        <v>19</v>
      </c>
      <c r="B36" t="s">
        <v>167</v>
      </c>
      <c r="C36" t="s">
        <v>161</v>
      </c>
      <c r="D36" t="s">
        <v>40</v>
      </c>
      <c r="E36" t="s">
        <v>383</v>
      </c>
      <c r="F36" t="s">
        <v>385</v>
      </c>
    </row>
    <row r="37" spans="1:38" x14ac:dyDescent="0.3">
      <c r="A37" t="s">
        <v>19</v>
      </c>
      <c r="B37" t="s">
        <v>167</v>
      </c>
      <c r="C37" t="s">
        <v>161</v>
      </c>
      <c r="D37" t="s">
        <v>40</v>
      </c>
      <c r="E37" t="s">
        <v>383</v>
      </c>
      <c r="F37" t="s">
        <v>386</v>
      </c>
      <c r="M37">
        <v>60019.8</v>
      </c>
      <c r="N37">
        <v>70023.100000000006</v>
      </c>
      <c r="O37">
        <v>30009.9</v>
      </c>
    </row>
    <row r="38" spans="1:38" x14ac:dyDescent="0.3">
      <c r="A38" t="s">
        <v>19</v>
      </c>
      <c r="B38" t="s">
        <v>171</v>
      </c>
      <c r="C38" t="s">
        <v>161</v>
      </c>
      <c r="D38" t="s">
        <v>40</v>
      </c>
      <c r="E38" t="s">
        <v>383</v>
      </c>
      <c r="F38" t="s">
        <v>384</v>
      </c>
      <c r="O38">
        <v>316770.93</v>
      </c>
      <c r="P38">
        <v>554349.13</v>
      </c>
      <c r="Q38">
        <v>554349.13</v>
      </c>
      <c r="R38">
        <v>475156.4</v>
      </c>
    </row>
    <row r="39" spans="1:38" x14ac:dyDescent="0.3">
      <c r="A39" t="s">
        <v>19</v>
      </c>
      <c r="B39" t="s">
        <v>171</v>
      </c>
      <c r="C39" t="s">
        <v>161</v>
      </c>
      <c r="D39" t="s">
        <v>40</v>
      </c>
      <c r="E39" t="s">
        <v>383</v>
      </c>
      <c r="F39" t="s">
        <v>385</v>
      </c>
    </row>
    <row r="40" spans="1:38" x14ac:dyDescent="0.3">
      <c r="A40" t="s">
        <v>19</v>
      </c>
      <c r="B40" t="s">
        <v>171</v>
      </c>
      <c r="C40" t="s">
        <v>161</v>
      </c>
      <c r="D40" t="s">
        <v>40</v>
      </c>
      <c r="E40" t="s">
        <v>383</v>
      </c>
      <c r="F40" t="s">
        <v>386</v>
      </c>
      <c r="O40">
        <v>316770.93</v>
      </c>
      <c r="P40">
        <v>554349.13</v>
      </c>
      <c r="Q40">
        <v>554349.13</v>
      </c>
      <c r="R40">
        <v>475156.4</v>
      </c>
    </row>
    <row r="41" spans="1:38" x14ac:dyDescent="0.3">
      <c r="A41" t="s">
        <v>19</v>
      </c>
      <c r="B41" t="s">
        <v>175</v>
      </c>
      <c r="C41" t="s">
        <v>161</v>
      </c>
      <c r="D41" t="s">
        <v>40</v>
      </c>
      <c r="E41" t="s">
        <v>383</v>
      </c>
      <c r="F41" t="s">
        <v>384</v>
      </c>
      <c r="R41">
        <v>116163.24</v>
      </c>
      <c r="S41">
        <v>813142.71</v>
      </c>
      <c r="T41">
        <v>813142.71</v>
      </c>
      <c r="U41">
        <v>348489.73</v>
      </c>
    </row>
    <row r="42" spans="1:38" x14ac:dyDescent="0.3">
      <c r="A42" t="s">
        <v>19</v>
      </c>
      <c r="B42" t="s">
        <v>175</v>
      </c>
      <c r="C42" t="s">
        <v>161</v>
      </c>
      <c r="D42" t="s">
        <v>40</v>
      </c>
      <c r="E42" t="s">
        <v>383</v>
      </c>
      <c r="F42" t="s">
        <v>385</v>
      </c>
    </row>
    <row r="43" spans="1:38" x14ac:dyDescent="0.3">
      <c r="A43" t="s">
        <v>19</v>
      </c>
      <c r="B43" t="s">
        <v>175</v>
      </c>
      <c r="C43" t="s">
        <v>161</v>
      </c>
      <c r="D43" t="s">
        <v>40</v>
      </c>
      <c r="E43" t="s">
        <v>383</v>
      </c>
      <c r="F43" t="s">
        <v>386</v>
      </c>
      <c r="R43">
        <v>116163.24</v>
      </c>
      <c r="S43">
        <v>813142.71</v>
      </c>
      <c r="T43">
        <v>813142.71</v>
      </c>
      <c r="U43">
        <v>348489.73</v>
      </c>
    </row>
    <row r="44" spans="1:38" x14ac:dyDescent="0.3">
      <c r="A44" t="s">
        <v>19</v>
      </c>
      <c r="B44" t="s">
        <v>179</v>
      </c>
      <c r="C44" t="s">
        <v>161</v>
      </c>
      <c r="D44" t="s">
        <v>40</v>
      </c>
      <c r="E44" t="s">
        <v>383</v>
      </c>
      <c r="F44" t="s">
        <v>384</v>
      </c>
      <c r="AD44">
        <v>503741.67</v>
      </c>
      <c r="AE44">
        <v>755612.51</v>
      </c>
      <c r="AG44">
        <v>125935.42</v>
      </c>
      <c r="AH44">
        <v>881547.93</v>
      </c>
      <c r="AI44">
        <v>503741.67</v>
      </c>
    </row>
    <row r="45" spans="1:38" x14ac:dyDescent="0.3">
      <c r="A45" t="s">
        <v>19</v>
      </c>
      <c r="B45" t="s">
        <v>179</v>
      </c>
      <c r="C45" t="s">
        <v>161</v>
      </c>
      <c r="D45" t="s">
        <v>40</v>
      </c>
      <c r="E45" t="s">
        <v>383</v>
      </c>
      <c r="F45" t="s">
        <v>385</v>
      </c>
    </row>
    <row r="46" spans="1:38" x14ac:dyDescent="0.3">
      <c r="A46" t="s">
        <v>19</v>
      </c>
      <c r="B46" t="s">
        <v>179</v>
      </c>
      <c r="C46" t="s">
        <v>161</v>
      </c>
      <c r="D46" t="s">
        <v>40</v>
      </c>
      <c r="E46" t="s">
        <v>383</v>
      </c>
      <c r="F46" t="s">
        <v>386</v>
      </c>
      <c r="AD46">
        <v>503741.67</v>
      </c>
      <c r="AE46">
        <v>755612.51</v>
      </c>
      <c r="AG46">
        <v>125935.42</v>
      </c>
      <c r="AH46">
        <v>881547.93</v>
      </c>
      <c r="AI46">
        <v>503741.67</v>
      </c>
    </row>
    <row r="47" spans="1:38" x14ac:dyDescent="0.3">
      <c r="A47" t="s">
        <v>19</v>
      </c>
      <c r="B47" t="s">
        <v>183</v>
      </c>
      <c r="C47" t="s">
        <v>161</v>
      </c>
      <c r="D47" t="s">
        <v>40</v>
      </c>
      <c r="E47" t="s">
        <v>383</v>
      </c>
      <c r="F47" t="s">
        <v>384</v>
      </c>
      <c r="AI47">
        <v>128989.89</v>
      </c>
      <c r="AJ47">
        <v>300976.42</v>
      </c>
      <c r="AK47">
        <v>300976.42</v>
      </c>
      <c r="AL47">
        <v>85993.26</v>
      </c>
    </row>
    <row r="48" spans="1:38" x14ac:dyDescent="0.3">
      <c r="A48" t="s">
        <v>19</v>
      </c>
      <c r="B48" t="s">
        <v>183</v>
      </c>
      <c r="C48" t="s">
        <v>161</v>
      </c>
      <c r="D48" t="s">
        <v>40</v>
      </c>
      <c r="E48" t="s">
        <v>383</v>
      </c>
      <c r="F48" t="s">
        <v>385</v>
      </c>
    </row>
    <row r="49" spans="1:45" x14ac:dyDescent="0.3">
      <c r="A49" t="s">
        <v>19</v>
      </c>
      <c r="B49" t="s">
        <v>183</v>
      </c>
      <c r="C49" t="s">
        <v>161</v>
      </c>
      <c r="D49" t="s">
        <v>40</v>
      </c>
      <c r="E49" t="s">
        <v>383</v>
      </c>
      <c r="F49" t="s">
        <v>386</v>
      </c>
      <c r="AI49">
        <v>128989.89</v>
      </c>
      <c r="AJ49">
        <v>300976.42</v>
      </c>
      <c r="AK49">
        <v>300976.42</v>
      </c>
      <c r="AL49">
        <v>85993.26</v>
      </c>
    </row>
    <row r="50" spans="1:45" x14ac:dyDescent="0.3">
      <c r="A50" t="s">
        <v>19</v>
      </c>
      <c r="B50" t="s">
        <v>187</v>
      </c>
      <c r="C50" t="s">
        <v>161</v>
      </c>
      <c r="D50" t="s">
        <v>45</v>
      </c>
      <c r="E50" t="s">
        <v>383</v>
      </c>
      <c r="F50" t="s">
        <v>384</v>
      </c>
      <c r="Z50">
        <v>1904627.04</v>
      </c>
      <c r="AA50">
        <v>2222064.88</v>
      </c>
      <c r="AB50">
        <v>2222064.88</v>
      </c>
      <c r="AC50">
        <v>2222064.88</v>
      </c>
      <c r="AD50">
        <v>952313.52</v>
      </c>
    </row>
    <row r="51" spans="1:45" x14ac:dyDescent="0.3">
      <c r="A51" t="s">
        <v>19</v>
      </c>
      <c r="B51" t="s">
        <v>187</v>
      </c>
      <c r="C51" t="s">
        <v>161</v>
      </c>
      <c r="D51" t="s">
        <v>45</v>
      </c>
      <c r="E51" t="s">
        <v>383</v>
      </c>
      <c r="F51" t="s">
        <v>385</v>
      </c>
    </row>
    <row r="52" spans="1:45" x14ac:dyDescent="0.3">
      <c r="A52" t="s">
        <v>19</v>
      </c>
      <c r="B52" t="s">
        <v>187</v>
      </c>
      <c r="C52" t="s">
        <v>161</v>
      </c>
      <c r="D52" t="s">
        <v>45</v>
      </c>
      <c r="E52" t="s">
        <v>383</v>
      </c>
      <c r="F52" t="s">
        <v>386</v>
      </c>
      <c r="Z52">
        <v>1904627.04</v>
      </c>
      <c r="AA52">
        <v>2222064.88</v>
      </c>
      <c r="AB52">
        <v>2222064.88</v>
      </c>
      <c r="AC52">
        <v>2222064.88</v>
      </c>
      <c r="AD52">
        <v>952313.52</v>
      </c>
    </row>
    <row r="53" spans="1:45" x14ac:dyDescent="0.3">
      <c r="A53" t="s">
        <v>19</v>
      </c>
      <c r="B53" t="s">
        <v>191</v>
      </c>
      <c r="C53" t="s">
        <v>161</v>
      </c>
      <c r="D53" t="s">
        <v>31</v>
      </c>
      <c r="E53" t="s">
        <v>383</v>
      </c>
      <c r="F53" t="s">
        <v>384</v>
      </c>
      <c r="AL53">
        <v>1603133.27</v>
      </c>
      <c r="AM53">
        <v>2244386.58</v>
      </c>
      <c r="AN53">
        <v>2244386.58</v>
      </c>
      <c r="AO53">
        <v>961879.96</v>
      </c>
    </row>
    <row r="54" spans="1:45" x14ac:dyDescent="0.3">
      <c r="A54" t="s">
        <v>19</v>
      </c>
      <c r="B54" t="s">
        <v>191</v>
      </c>
      <c r="C54" t="s">
        <v>161</v>
      </c>
      <c r="D54" t="s">
        <v>31</v>
      </c>
      <c r="E54" t="s">
        <v>383</v>
      </c>
      <c r="F54" t="s">
        <v>385</v>
      </c>
    </row>
    <row r="55" spans="1:45" x14ac:dyDescent="0.3">
      <c r="A55" t="s">
        <v>19</v>
      </c>
      <c r="B55" t="s">
        <v>191</v>
      </c>
      <c r="C55" t="s">
        <v>161</v>
      </c>
      <c r="D55" t="s">
        <v>31</v>
      </c>
      <c r="E55" t="s">
        <v>383</v>
      </c>
      <c r="F55" t="s">
        <v>386</v>
      </c>
      <c r="AL55">
        <v>1603133.27</v>
      </c>
      <c r="AM55">
        <v>2244386.58</v>
      </c>
      <c r="AN55">
        <v>2244386.58</v>
      </c>
      <c r="AO55">
        <v>961879.96</v>
      </c>
    </row>
    <row r="56" spans="1:45" x14ac:dyDescent="0.3">
      <c r="A56" t="s">
        <v>19</v>
      </c>
      <c r="B56" t="s">
        <v>197</v>
      </c>
      <c r="C56" t="s">
        <v>161</v>
      </c>
      <c r="D56" t="s">
        <v>61</v>
      </c>
      <c r="E56" t="s">
        <v>383</v>
      </c>
      <c r="F56" t="s">
        <v>384</v>
      </c>
      <c r="AK56">
        <v>62261.42</v>
      </c>
      <c r="AL56">
        <v>17788.98</v>
      </c>
    </row>
    <row r="57" spans="1:45" x14ac:dyDescent="0.3">
      <c r="A57" t="s">
        <v>19</v>
      </c>
      <c r="B57" t="s">
        <v>197</v>
      </c>
      <c r="C57" t="s">
        <v>161</v>
      </c>
      <c r="D57" t="s">
        <v>61</v>
      </c>
      <c r="E57" t="s">
        <v>383</v>
      </c>
      <c r="F57" t="s">
        <v>385</v>
      </c>
    </row>
    <row r="58" spans="1:45" x14ac:dyDescent="0.3">
      <c r="A58" t="s">
        <v>19</v>
      </c>
      <c r="B58" t="s">
        <v>197</v>
      </c>
      <c r="C58" t="s">
        <v>161</v>
      </c>
      <c r="D58" t="s">
        <v>61</v>
      </c>
      <c r="E58" t="s">
        <v>383</v>
      </c>
      <c r="F58" t="s">
        <v>386</v>
      </c>
      <c r="AK58">
        <v>62261.42</v>
      </c>
      <c r="AL58">
        <v>17788.98</v>
      </c>
    </row>
    <row r="59" spans="1:45" x14ac:dyDescent="0.3">
      <c r="A59" t="s">
        <v>19</v>
      </c>
      <c r="B59" t="s">
        <v>202</v>
      </c>
      <c r="C59" t="s">
        <v>161</v>
      </c>
      <c r="D59" t="s">
        <v>64</v>
      </c>
      <c r="E59" t="s">
        <v>383</v>
      </c>
      <c r="F59" t="s">
        <v>384</v>
      </c>
      <c r="AL59">
        <v>26935.599999999999</v>
      </c>
      <c r="AM59">
        <v>26935.599999999999</v>
      </c>
    </row>
    <row r="60" spans="1:45" x14ac:dyDescent="0.3">
      <c r="A60" t="s">
        <v>19</v>
      </c>
      <c r="B60" t="s">
        <v>202</v>
      </c>
      <c r="C60" t="s">
        <v>161</v>
      </c>
      <c r="D60" t="s">
        <v>64</v>
      </c>
      <c r="E60" t="s">
        <v>383</v>
      </c>
      <c r="F60" t="s">
        <v>385</v>
      </c>
    </row>
    <row r="61" spans="1:45" x14ac:dyDescent="0.3">
      <c r="A61" t="s">
        <v>19</v>
      </c>
      <c r="B61" t="s">
        <v>202</v>
      </c>
      <c r="C61" t="s">
        <v>161</v>
      </c>
      <c r="D61" t="s">
        <v>64</v>
      </c>
      <c r="E61" t="s">
        <v>383</v>
      </c>
      <c r="F61" t="s">
        <v>386</v>
      </c>
      <c r="AL61">
        <v>26935.599999999999</v>
      </c>
      <c r="AM61">
        <v>26935.599999999999</v>
      </c>
    </row>
    <row r="62" spans="1:45" x14ac:dyDescent="0.3">
      <c r="A62" t="s">
        <v>19</v>
      </c>
      <c r="B62" t="s">
        <v>205</v>
      </c>
      <c r="C62" t="s">
        <v>161</v>
      </c>
      <c r="D62" t="s">
        <v>35</v>
      </c>
      <c r="E62" t="s">
        <v>383</v>
      </c>
      <c r="F62" t="s">
        <v>384</v>
      </c>
      <c r="AO62">
        <v>232069.71</v>
      </c>
      <c r="AP62">
        <v>406122</v>
      </c>
      <c r="AQ62">
        <v>406122</v>
      </c>
      <c r="AR62">
        <v>406122</v>
      </c>
      <c r="AS62">
        <v>174052.29</v>
      </c>
    </row>
    <row r="63" spans="1:45" x14ac:dyDescent="0.3">
      <c r="A63" t="s">
        <v>19</v>
      </c>
      <c r="B63" t="s">
        <v>205</v>
      </c>
      <c r="C63" t="s">
        <v>161</v>
      </c>
      <c r="D63" t="s">
        <v>35</v>
      </c>
      <c r="E63" t="s">
        <v>383</v>
      </c>
      <c r="F63" t="s">
        <v>385</v>
      </c>
    </row>
    <row r="64" spans="1:45" x14ac:dyDescent="0.3">
      <c r="A64" t="s">
        <v>19</v>
      </c>
      <c r="B64" t="s">
        <v>205</v>
      </c>
      <c r="C64" t="s">
        <v>161</v>
      </c>
      <c r="D64" t="s">
        <v>35</v>
      </c>
      <c r="E64" t="s">
        <v>383</v>
      </c>
      <c r="F64" t="s">
        <v>386</v>
      </c>
      <c r="AO64">
        <v>232069.71</v>
      </c>
      <c r="AP64">
        <v>406122</v>
      </c>
      <c r="AQ64">
        <v>406122</v>
      </c>
      <c r="AR64">
        <v>406122</v>
      </c>
      <c r="AS64">
        <v>174052.29</v>
      </c>
    </row>
    <row r="65" spans="1:39" x14ac:dyDescent="0.3">
      <c r="A65" t="s">
        <v>19</v>
      </c>
      <c r="B65" t="s">
        <v>212</v>
      </c>
      <c r="C65" t="s">
        <v>161</v>
      </c>
      <c r="D65" t="s">
        <v>40</v>
      </c>
      <c r="E65" t="s">
        <v>383</v>
      </c>
      <c r="F65" t="s">
        <v>384</v>
      </c>
      <c r="M65">
        <v>320105.28000000003</v>
      </c>
      <c r="N65">
        <v>373456.16</v>
      </c>
      <c r="O65">
        <v>373456.16</v>
      </c>
    </row>
    <row r="66" spans="1:39" x14ac:dyDescent="0.3">
      <c r="A66" t="s">
        <v>19</v>
      </c>
      <c r="B66" t="s">
        <v>212</v>
      </c>
      <c r="C66" t="s">
        <v>161</v>
      </c>
      <c r="D66" t="s">
        <v>40</v>
      </c>
      <c r="E66" t="s">
        <v>383</v>
      </c>
      <c r="F66" t="s">
        <v>385</v>
      </c>
    </row>
    <row r="67" spans="1:39" x14ac:dyDescent="0.3">
      <c r="A67" t="s">
        <v>19</v>
      </c>
      <c r="B67" t="s">
        <v>212</v>
      </c>
      <c r="C67" t="s">
        <v>161</v>
      </c>
      <c r="D67" t="s">
        <v>40</v>
      </c>
      <c r="E67" t="s">
        <v>383</v>
      </c>
      <c r="F67" t="s">
        <v>386</v>
      </c>
      <c r="M67">
        <v>320105.28000000003</v>
      </c>
      <c r="N67">
        <v>373456.16</v>
      </c>
      <c r="O67">
        <v>373456.16</v>
      </c>
    </row>
    <row r="68" spans="1:39" x14ac:dyDescent="0.3">
      <c r="A68" t="s">
        <v>19</v>
      </c>
      <c r="B68" t="s">
        <v>215</v>
      </c>
      <c r="C68" t="s">
        <v>161</v>
      </c>
      <c r="D68" t="s">
        <v>40</v>
      </c>
      <c r="E68" t="s">
        <v>383</v>
      </c>
      <c r="F68" t="s">
        <v>384</v>
      </c>
      <c r="AA68">
        <v>676889.36</v>
      </c>
      <c r="AB68">
        <v>290095.44</v>
      </c>
    </row>
    <row r="69" spans="1:39" x14ac:dyDescent="0.3">
      <c r="A69" t="s">
        <v>19</v>
      </c>
      <c r="B69" t="s">
        <v>215</v>
      </c>
      <c r="C69" t="s">
        <v>161</v>
      </c>
      <c r="D69" t="s">
        <v>40</v>
      </c>
      <c r="E69" t="s">
        <v>383</v>
      </c>
      <c r="F69" t="s">
        <v>385</v>
      </c>
    </row>
    <row r="70" spans="1:39" x14ac:dyDescent="0.3">
      <c r="A70" t="s">
        <v>19</v>
      </c>
      <c r="B70" t="s">
        <v>215</v>
      </c>
      <c r="C70" t="s">
        <v>161</v>
      </c>
      <c r="D70" t="s">
        <v>40</v>
      </c>
      <c r="E70" t="s">
        <v>383</v>
      </c>
      <c r="F70" t="s">
        <v>386</v>
      </c>
      <c r="AA70">
        <v>676889.36</v>
      </c>
      <c r="AB70">
        <v>290095.44</v>
      </c>
    </row>
    <row r="71" spans="1:39" x14ac:dyDescent="0.3">
      <c r="A71" t="s">
        <v>19</v>
      </c>
      <c r="B71" t="s">
        <v>217</v>
      </c>
      <c r="C71" t="s">
        <v>161</v>
      </c>
      <c r="D71" t="s">
        <v>40</v>
      </c>
      <c r="E71" t="s">
        <v>383</v>
      </c>
      <c r="F71" t="s">
        <v>384</v>
      </c>
      <c r="P71">
        <v>70023.100000000006</v>
      </c>
      <c r="Q71">
        <v>70023.100000000006</v>
      </c>
      <c r="R71">
        <v>20006.599999999999</v>
      </c>
    </row>
    <row r="72" spans="1:39" x14ac:dyDescent="0.3">
      <c r="A72" t="s">
        <v>19</v>
      </c>
      <c r="B72" t="s">
        <v>217</v>
      </c>
      <c r="C72" t="s">
        <v>161</v>
      </c>
      <c r="D72" t="s">
        <v>40</v>
      </c>
      <c r="E72" t="s">
        <v>383</v>
      </c>
      <c r="F72" t="s">
        <v>385</v>
      </c>
    </row>
    <row r="73" spans="1:39" x14ac:dyDescent="0.3">
      <c r="A73" t="s">
        <v>19</v>
      </c>
      <c r="B73" t="s">
        <v>217</v>
      </c>
      <c r="C73" t="s">
        <v>161</v>
      </c>
      <c r="D73" t="s">
        <v>40</v>
      </c>
      <c r="E73" t="s">
        <v>383</v>
      </c>
      <c r="F73" t="s">
        <v>386</v>
      </c>
      <c r="P73">
        <v>70023.100000000006</v>
      </c>
      <c r="Q73">
        <v>70023.100000000006</v>
      </c>
      <c r="R73">
        <v>20006.599999999999</v>
      </c>
    </row>
    <row r="74" spans="1:39" x14ac:dyDescent="0.3">
      <c r="A74" t="s">
        <v>19</v>
      </c>
      <c r="B74" t="s">
        <v>219</v>
      </c>
      <c r="C74" t="s">
        <v>161</v>
      </c>
      <c r="D74" t="s">
        <v>40</v>
      </c>
      <c r="E74" t="s">
        <v>383</v>
      </c>
      <c r="F74" t="s">
        <v>384</v>
      </c>
      <c r="R74">
        <v>79192.73</v>
      </c>
      <c r="S74">
        <v>554349.13</v>
      </c>
      <c r="T74">
        <v>554349.13</v>
      </c>
      <c r="U74">
        <v>395963.67</v>
      </c>
      <c r="W74">
        <v>79192.73</v>
      </c>
      <c r="X74">
        <v>237578.2</v>
      </c>
    </row>
    <row r="75" spans="1:39" x14ac:dyDescent="0.3">
      <c r="A75" t="s">
        <v>19</v>
      </c>
      <c r="B75" t="s">
        <v>219</v>
      </c>
      <c r="C75" t="s">
        <v>161</v>
      </c>
      <c r="D75" t="s">
        <v>40</v>
      </c>
      <c r="E75" t="s">
        <v>383</v>
      </c>
      <c r="F75" t="s">
        <v>385</v>
      </c>
    </row>
    <row r="76" spans="1:39" x14ac:dyDescent="0.3">
      <c r="A76" t="s">
        <v>19</v>
      </c>
      <c r="B76" t="s">
        <v>219</v>
      </c>
      <c r="C76" t="s">
        <v>161</v>
      </c>
      <c r="D76" t="s">
        <v>40</v>
      </c>
      <c r="E76" t="s">
        <v>383</v>
      </c>
      <c r="F76" t="s">
        <v>386</v>
      </c>
      <c r="R76">
        <v>79192.73</v>
      </c>
      <c r="S76">
        <v>554349.13</v>
      </c>
      <c r="T76">
        <v>554349.13</v>
      </c>
      <c r="U76">
        <v>395963.67</v>
      </c>
      <c r="W76">
        <v>79192.73</v>
      </c>
      <c r="X76">
        <v>237578.2</v>
      </c>
    </row>
    <row r="77" spans="1:39" x14ac:dyDescent="0.3">
      <c r="A77" t="s">
        <v>19</v>
      </c>
      <c r="B77" t="s">
        <v>221</v>
      </c>
      <c r="C77" t="s">
        <v>161</v>
      </c>
      <c r="D77" t="s">
        <v>40</v>
      </c>
      <c r="E77" t="s">
        <v>383</v>
      </c>
      <c r="F77" t="s">
        <v>384</v>
      </c>
      <c r="X77">
        <v>464652.98</v>
      </c>
      <c r="Y77">
        <v>813142.71</v>
      </c>
      <c r="Z77">
        <v>813142.71</v>
      </c>
    </row>
    <row r="78" spans="1:39" x14ac:dyDescent="0.3">
      <c r="A78" t="s">
        <v>19</v>
      </c>
      <c r="B78" t="s">
        <v>221</v>
      </c>
      <c r="C78" t="s">
        <v>161</v>
      </c>
      <c r="D78" t="s">
        <v>40</v>
      </c>
      <c r="E78" t="s">
        <v>383</v>
      </c>
      <c r="F78" t="s">
        <v>385</v>
      </c>
    </row>
    <row r="79" spans="1:39" x14ac:dyDescent="0.3">
      <c r="A79" t="s">
        <v>19</v>
      </c>
      <c r="B79" t="s">
        <v>221</v>
      </c>
      <c r="C79" t="s">
        <v>161</v>
      </c>
      <c r="D79" t="s">
        <v>40</v>
      </c>
      <c r="E79" t="s">
        <v>383</v>
      </c>
      <c r="F79" t="s">
        <v>386</v>
      </c>
      <c r="X79">
        <v>464652.98</v>
      </c>
      <c r="Y79">
        <v>813142.71</v>
      </c>
      <c r="Z79">
        <v>813142.71</v>
      </c>
    </row>
    <row r="80" spans="1:39" x14ac:dyDescent="0.3">
      <c r="A80" t="s">
        <v>19</v>
      </c>
      <c r="B80" t="s">
        <v>223</v>
      </c>
      <c r="C80" t="s">
        <v>161</v>
      </c>
      <c r="D80" t="s">
        <v>40</v>
      </c>
      <c r="E80" t="s">
        <v>383</v>
      </c>
      <c r="F80" t="s">
        <v>384</v>
      </c>
      <c r="AJ80">
        <v>251870.84</v>
      </c>
      <c r="AK80">
        <v>881547.93</v>
      </c>
      <c r="AL80">
        <v>881547.93</v>
      </c>
      <c r="AM80">
        <v>755612.51</v>
      </c>
    </row>
    <row r="81" spans="1:45" x14ac:dyDescent="0.3">
      <c r="A81" t="s">
        <v>19</v>
      </c>
      <c r="B81" t="s">
        <v>223</v>
      </c>
      <c r="C81" t="s">
        <v>161</v>
      </c>
      <c r="D81" t="s">
        <v>40</v>
      </c>
      <c r="E81" t="s">
        <v>383</v>
      </c>
      <c r="F81" t="s">
        <v>385</v>
      </c>
    </row>
    <row r="82" spans="1:45" x14ac:dyDescent="0.3">
      <c r="A82" t="s">
        <v>19</v>
      </c>
      <c r="B82" t="s">
        <v>223</v>
      </c>
      <c r="C82" t="s">
        <v>161</v>
      </c>
      <c r="D82" t="s">
        <v>40</v>
      </c>
      <c r="E82" t="s">
        <v>383</v>
      </c>
      <c r="F82" t="s">
        <v>386</v>
      </c>
      <c r="AJ82">
        <v>251870.84</v>
      </c>
      <c r="AK82">
        <v>881547.93</v>
      </c>
      <c r="AL82">
        <v>881547.93</v>
      </c>
      <c r="AM82">
        <v>755612.51</v>
      </c>
    </row>
    <row r="83" spans="1:45" x14ac:dyDescent="0.3">
      <c r="A83" t="s">
        <v>19</v>
      </c>
      <c r="B83" t="s">
        <v>225</v>
      </c>
      <c r="C83" t="s">
        <v>161</v>
      </c>
      <c r="D83" t="s">
        <v>40</v>
      </c>
      <c r="E83" t="s">
        <v>383</v>
      </c>
      <c r="F83" t="s">
        <v>384</v>
      </c>
      <c r="AM83">
        <v>42996.63</v>
      </c>
      <c r="AN83">
        <v>300976.42</v>
      </c>
      <c r="AO83">
        <v>300976.42</v>
      </c>
      <c r="AP83">
        <v>171986.53</v>
      </c>
    </row>
    <row r="84" spans="1:45" x14ac:dyDescent="0.3">
      <c r="A84" t="s">
        <v>19</v>
      </c>
      <c r="B84" t="s">
        <v>225</v>
      </c>
      <c r="C84" t="s">
        <v>161</v>
      </c>
      <c r="D84" t="s">
        <v>40</v>
      </c>
      <c r="E84" t="s">
        <v>383</v>
      </c>
      <c r="F84" t="s">
        <v>385</v>
      </c>
    </row>
    <row r="85" spans="1:45" x14ac:dyDescent="0.3">
      <c r="A85" t="s">
        <v>19</v>
      </c>
      <c r="B85" t="s">
        <v>225</v>
      </c>
      <c r="C85" t="s">
        <v>161</v>
      </c>
      <c r="D85" t="s">
        <v>40</v>
      </c>
      <c r="E85" t="s">
        <v>383</v>
      </c>
      <c r="F85" t="s">
        <v>386</v>
      </c>
      <c r="AM85">
        <v>42996.63</v>
      </c>
      <c r="AN85">
        <v>300976.42</v>
      </c>
      <c r="AO85">
        <v>300976.42</v>
      </c>
      <c r="AP85">
        <v>171986.53</v>
      </c>
    </row>
    <row r="86" spans="1:45" x14ac:dyDescent="0.3">
      <c r="A86" t="s">
        <v>19</v>
      </c>
      <c r="B86" t="s">
        <v>229</v>
      </c>
      <c r="C86" t="s">
        <v>161</v>
      </c>
      <c r="D86" t="s">
        <v>45</v>
      </c>
      <c r="E86" t="s">
        <v>383</v>
      </c>
      <c r="F86" t="s">
        <v>384</v>
      </c>
      <c r="AD86">
        <v>1269751.3600000001</v>
      </c>
      <c r="AE86">
        <v>1904627.04</v>
      </c>
      <c r="AG86">
        <v>317437.84000000003</v>
      </c>
      <c r="AH86">
        <v>2222064.88</v>
      </c>
      <c r="AI86">
        <v>2222064.88</v>
      </c>
      <c r="AJ86">
        <v>1587189.2</v>
      </c>
    </row>
    <row r="87" spans="1:45" x14ac:dyDescent="0.3">
      <c r="A87" t="s">
        <v>19</v>
      </c>
      <c r="B87" t="s">
        <v>229</v>
      </c>
      <c r="C87" t="s">
        <v>161</v>
      </c>
      <c r="D87" t="s">
        <v>45</v>
      </c>
      <c r="E87" t="s">
        <v>383</v>
      </c>
      <c r="F87" t="s">
        <v>385</v>
      </c>
    </row>
    <row r="88" spans="1:45" x14ac:dyDescent="0.3">
      <c r="A88" t="s">
        <v>19</v>
      </c>
      <c r="B88" t="s">
        <v>229</v>
      </c>
      <c r="C88" t="s">
        <v>161</v>
      </c>
      <c r="D88" t="s">
        <v>45</v>
      </c>
      <c r="E88" t="s">
        <v>383</v>
      </c>
      <c r="F88" t="s">
        <v>386</v>
      </c>
      <c r="AD88">
        <v>1269751.3600000001</v>
      </c>
      <c r="AE88">
        <v>1904627.04</v>
      </c>
      <c r="AG88">
        <v>317437.84000000003</v>
      </c>
      <c r="AH88">
        <v>2222064.88</v>
      </c>
      <c r="AI88">
        <v>2222064.88</v>
      </c>
      <c r="AJ88">
        <v>1587189.2</v>
      </c>
    </row>
    <row r="89" spans="1:45" x14ac:dyDescent="0.3">
      <c r="A89" t="s">
        <v>19</v>
      </c>
      <c r="B89" t="s">
        <v>232</v>
      </c>
      <c r="C89" t="s">
        <v>161</v>
      </c>
      <c r="D89" t="s">
        <v>31</v>
      </c>
      <c r="E89" t="s">
        <v>383</v>
      </c>
      <c r="F89" t="s">
        <v>384</v>
      </c>
      <c r="AP89">
        <v>961879.96</v>
      </c>
      <c r="AQ89">
        <v>2244386.58</v>
      </c>
      <c r="AR89">
        <v>2244386.58</v>
      </c>
      <c r="AS89">
        <v>1603133.27</v>
      </c>
    </row>
    <row r="90" spans="1:45" x14ac:dyDescent="0.3">
      <c r="A90" t="s">
        <v>19</v>
      </c>
      <c r="B90" t="s">
        <v>232</v>
      </c>
      <c r="C90" t="s">
        <v>161</v>
      </c>
      <c r="D90" t="s">
        <v>31</v>
      </c>
      <c r="E90" t="s">
        <v>383</v>
      </c>
      <c r="F90" t="s">
        <v>385</v>
      </c>
    </row>
    <row r="91" spans="1:45" x14ac:dyDescent="0.3">
      <c r="A91" t="s">
        <v>19</v>
      </c>
      <c r="B91" t="s">
        <v>232</v>
      </c>
      <c r="C91" t="s">
        <v>161</v>
      </c>
      <c r="D91" t="s">
        <v>31</v>
      </c>
      <c r="E91" t="s">
        <v>383</v>
      </c>
      <c r="F91" t="s">
        <v>386</v>
      </c>
      <c r="AP91">
        <v>961879.96</v>
      </c>
      <c r="AQ91">
        <v>2244386.58</v>
      </c>
      <c r="AR91">
        <v>2244386.58</v>
      </c>
      <c r="AS91">
        <v>1603133.27</v>
      </c>
    </row>
    <row r="92" spans="1:45" x14ac:dyDescent="0.3">
      <c r="A92" t="s">
        <v>19</v>
      </c>
      <c r="B92" t="s">
        <v>235</v>
      </c>
      <c r="C92" t="s">
        <v>161</v>
      </c>
      <c r="D92" t="s">
        <v>61</v>
      </c>
      <c r="E92" t="s">
        <v>383</v>
      </c>
      <c r="F92" t="s">
        <v>384</v>
      </c>
      <c r="AO92">
        <v>44472.44</v>
      </c>
      <c r="AP92">
        <v>35577.96</v>
      </c>
    </row>
    <row r="93" spans="1:45" x14ac:dyDescent="0.3">
      <c r="A93" t="s">
        <v>19</v>
      </c>
      <c r="B93" t="s">
        <v>235</v>
      </c>
      <c r="C93" t="s">
        <v>161</v>
      </c>
      <c r="D93" t="s">
        <v>61</v>
      </c>
      <c r="E93" t="s">
        <v>383</v>
      </c>
      <c r="F93" t="s">
        <v>385</v>
      </c>
    </row>
    <row r="94" spans="1:45" x14ac:dyDescent="0.3">
      <c r="A94" t="s">
        <v>19</v>
      </c>
      <c r="B94" t="s">
        <v>235</v>
      </c>
      <c r="C94" t="s">
        <v>161</v>
      </c>
      <c r="D94" t="s">
        <v>61</v>
      </c>
      <c r="E94" t="s">
        <v>383</v>
      </c>
      <c r="F94" t="s">
        <v>386</v>
      </c>
      <c r="AO94">
        <v>44472.44</v>
      </c>
      <c r="AP94">
        <v>35577.96</v>
      </c>
    </row>
    <row r="95" spans="1:45" x14ac:dyDescent="0.3">
      <c r="A95" t="s">
        <v>19</v>
      </c>
      <c r="B95" t="s">
        <v>240</v>
      </c>
      <c r="C95" t="s">
        <v>161</v>
      </c>
      <c r="D95" t="s">
        <v>64</v>
      </c>
      <c r="E95" t="s">
        <v>383</v>
      </c>
      <c r="F95" t="s">
        <v>384</v>
      </c>
      <c r="AP95">
        <v>16161.36</v>
      </c>
      <c r="AQ95">
        <v>37709.839999999997</v>
      </c>
    </row>
    <row r="96" spans="1:45" x14ac:dyDescent="0.3">
      <c r="A96" t="s">
        <v>19</v>
      </c>
      <c r="B96" t="s">
        <v>240</v>
      </c>
      <c r="C96" t="s">
        <v>161</v>
      </c>
      <c r="D96" t="s">
        <v>64</v>
      </c>
      <c r="E96" t="s">
        <v>383</v>
      </c>
      <c r="F96" t="s">
        <v>385</v>
      </c>
    </row>
    <row r="97" spans="1:49" x14ac:dyDescent="0.3">
      <c r="A97" t="s">
        <v>19</v>
      </c>
      <c r="B97" t="s">
        <v>240</v>
      </c>
      <c r="C97" t="s">
        <v>161</v>
      </c>
      <c r="D97" t="s">
        <v>64</v>
      </c>
      <c r="E97" t="s">
        <v>383</v>
      </c>
      <c r="F97" t="s">
        <v>386</v>
      </c>
      <c r="AP97">
        <v>16161.36</v>
      </c>
      <c r="AQ97">
        <v>37709.839999999997</v>
      </c>
    </row>
    <row r="98" spans="1:49" x14ac:dyDescent="0.3">
      <c r="A98" t="s">
        <v>19</v>
      </c>
      <c r="B98" t="s">
        <v>242</v>
      </c>
      <c r="C98" t="s">
        <v>161</v>
      </c>
      <c r="D98" t="s">
        <v>35</v>
      </c>
      <c r="E98" t="s">
        <v>383</v>
      </c>
      <c r="F98" t="s">
        <v>384</v>
      </c>
      <c r="AS98">
        <v>116034.86</v>
      </c>
      <c r="AT98">
        <v>406122</v>
      </c>
      <c r="AU98">
        <v>406122</v>
      </c>
      <c r="AV98">
        <v>406122</v>
      </c>
      <c r="AW98">
        <v>290087.14</v>
      </c>
    </row>
    <row r="99" spans="1:49" x14ac:dyDescent="0.3">
      <c r="A99" t="s">
        <v>19</v>
      </c>
      <c r="B99" t="s">
        <v>242</v>
      </c>
      <c r="C99" t="s">
        <v>161</v>
      </c>
      <c r="D99" t="s">
        <v>35</v>
      </c>
      <c r="E99" t="s">
        <v>383</v>
      </c>
      <c r="F99" t="s">
        <v>385</v>
      </c>
    </row>
    <row r="100" spans="1:49" x14ac:dyDescent="0.3">
      <c r="A100" t="s">
        <v>19</v>
      </c>
      <c r="B100" t="s">
        <v>242</v>
      </c>
      <c r="C100" t="s">
        <v>161</v>
      </c>
      <c r="D100" t="s">
        <v>35</v>
      </c>
      <c r="E100" t="s">
        <v>383</v>
      </c>
      <c r="F100" t="s">
        <v>386</v>
      </c>
      <c r="AS100">
        <v>116034.86</v>
      </c>
      <c r="AT100">
        <v>406122</v>
      </c>
      <c r="AU100">
        <v>406122</v>
      </c>
      <c r="AV100">
        <v>406122</v>
      </c>
      <c r="AW100">
        <v>290087.14</v>
      </c>
    </row>
    <row r="101" spans="1:49" x14ac:dyDescent="0.3">
      <c r="A101" t="s">
        <v>19</v>
      </c>
      <c r="B101" t="s">
        <v>245</v>
      </c>
      <c r="C101" t="s">
        <v>161</v>
      </c>
      <c r="D101" t="s">
        <v>40</v>
      </c>
      <c r="E101" t="s">
        <v>383</v>
      </c>
      <c r="F101" t="s">
        <v>384</v>
      </c>
      <c r="P101">
        <v>373456.16</v>
      </c>
      <c r="Q101">
        <v>373456.16</v>
      </c>
      <c r="R101">
        <v>320105.28000000003</v>
      </c>
    </row>
    <row r="102" spans="1:49" x14ac:dyDescent="0.3">
      <c r="A102" t="s">
        <v>19</v>
      </c>
      <c r="B102" t="s">
        <v>245</v>
      </c>
      <c r="C102" t="s">
        <v>161</v>
      </c>
      <c r="D102" t="s">
        <v>40</v>
      </c>
      <c r="E102" t="s">
        <v>383</v>
      </c>
      <c r="F102" t="s">
        <v>385</v>
      </c>
    </row>
    <row r="103" spans="1:49" x14ac:dyDescent="0.3">
      <c r="A103" t="s">
        <v>19</v>
      </c>
      <c r="B103" t="s">
        <v>245</v>
      </c>
      <c r="C103" t="s">
        <v>161</v>
      </c>
      <c r="D103" t="s">
        <v>40</v>
      </c>
      <c r="E103" t="s">
        <v>383</v>
      </c>
      <c r="F103" t="s">
        <v>386</v>
      </c>
      <c r="P103">
        <v>373456.16</v>
      </c>
      <c r="Q103">
        <v>373456.16</v>
      </c>
      <c r="R103">
        <v>320105.28000000003</v>
      </c>
    </row>
    <row r="104" spans="1:49" x14ac:dyDescent="0.3">
      <c r="A104" t="s">
        <v>19</v>
      </c>
      <c r="B104" t="s">
        <v>248</v>
      </c>
      <c r="C104" t="s">
        <v>161</v>
      </c>
      <c r="D104" t="s">
        <v>40</v>
      </c>
      <c r="E104" t="s">
        <v>383</v>
      </c>
      <c r="F104" t="s">
        <v>384</v>
      </c>
      <c r="AD104">
        <v>386793.92</v>
      </c>
      <c r="AE104">
        <v>580190.88</v>
      </c>
    </row>
    <row r="105" spans="1:49" x14ac:dyDescent="0.3">
      <c r="A105" t="s">
        <v>19</v>
      </c>
      <c r="B105" t="s">
        <v>248</v>
      </c>
      <c r="C105" t="s">
        <v>161</v>
      </c>
      <c r="D105" t="s">
        <v>40</v>
      </c>
      <c r="E105" t="s">
        <v>383</v>
      </c>
      <c r="F105" t="s">
        <v>385</v>
      </c>
    </row>
    <row r="106" spans="1:49" x14ac:dyDescent="0.3">
      <c r="A106" t="s">
        <v>19</v>
      </c>
      <c r="B106" t="s">
        <v>248</v>
      </c>
      <c r="C106" t="s">
        <v>161</v>
      </c>
      <c r="D106" t="s">
        <v>40</v>
      </c>
      <c r="E106" t="s">
        <v>383</v>
      </c>
      <c r="F106" t="s">
        <v>386</v>
      </c>
      <c r="AD106">
        <v>386793.92</v>
      </c>
      <c r="AE106">
        <v>580190.88</v>
      </c>
    </row>
    <row r="107" spans="1:49" x14ac:dyDescent="0.3">
      <c r="A107" t="s">
        <v>19</v>
      </c>
      <c r="B107" t="s">
        <v>250</v>
      </c>
      <c r="C107" t="s">
        <v>161</v>
      </c>
      <c r="D107" t="s">
        <v>40</v>
      </c>
      <c r="E107" t="s">
        <v>383</v>
      </c>
      <c r="F107" t="s">
        <v>384</v>
      </c>
      <c r="R107">
        <v>10003.299999999999</v>
      </c>
      <c r="S107">
        <v>70023.100000000006</v>
      </c>
      <c r="T107">
        <v>70023.100000000006</v>
      </c>
      <c r="U107">
        <v>10003.299999999999</v>
      </c>
    </row>
    <row r="108" spans="1:49" x14ac:dyDescent="0.3">
      <c r="A108" t="s">
        <v>19</v>
      </c>
      <c r="B108" t="s">
        <v>250</v>
      </c>
      <c r="C108" t="s">
        <v>161</v>
      </c>
      <c r="D108" t="s">
        <v>40</v>
      </c>
      <c r="E108" t="s">
        <v>383</v>
      </c>
      <c r="F108" t="s">
        <v>385</v>
      </c>
    </row>
    <row r="109" spans="1:49" x14ac:dyDescent="0.3">
      <c r="A109" t="s">
        <v>19</v>
      </c>
      <c r="B109" t="s">
        <v>250</v>
      </c>
      <c r="C109" t="s">
        <v>161</v>
      </c>
      <c r="D109" t="s">
        <v>40</v>
      </c>
      <c r="E109" t="s">
        <v>383</v>
      </c>
      <c r="F109" t="s">
        <v>386</v>
      </c>
      <c r="R109">
        <v>10003.299999999999</v>
      </c>
      <c r="S109">
        <v>70023.100000000006</v>
      </c>
      <c r="T109">
        <v>70023.100000000006</v>
      </c>
      <c r="U109">
        <v>10003.299999999999</v>
      </c>
    </row>
    <row r="110" spans="1:49" x14ac:dyDescent="0.3">
      <c r="A110" t="s">
        <v>19</v>
      </c>
      <c r="B110" t="s">
        <v>252</v>
      </c>
      <c r="C110" t="s">
        <v>161</v>
      </c>
      <c r="D110" t="s">
        <v>40</v>
      </c>
      <c r="E110" t="s">
        <v>383</v>
      </c>
      <c r="F110" t="s">
        <v>384</v>
      </c>
      <c r="X110">
        <v>316770.93</v>
      </c>
      <c r="Y110">
        <v>554349.13</v>
      </c>
      <c r="Z110">
        <v>554349.13</v>
      </c>
      <c r="AA110">
        <v>475156.4</v>
      </c>
    </row>
    <row r="111" spans="1:49" x14ac:dyDescent="0.3">
      <c r="A111" t="s">
        <v>19</v>
      </c>
      <c r="B111" t="s">
        <v>252</v>
      </c>
      <c r="C111" t="s">
        <v>161</v>
      </c>
      <c r="D111" t="s">
        <v>40</v>
      </c>
      <c r="E111" t="s">
        <v>383</v>
      </c>
      <c r="F111" t="s">
        <v>385</v>
      </c>
    </row>
    <row r="112" spans="1:49" x14ac:dyDescent="0.3">
      <c r="A112" t="s">
        <v>19</v>
      </c>
      <c r="B112" t="s">
        <v>252</v>
      </c>
      <c r="C112" t="s">
        <v>161</v>
      </c>
      <c r="D112" t="s">
        <v>40</v>
      </c>
      <c r="E112" t="s">
        <v>383</v>
      </c>
      <c r="F112" t="s">
        <v>386</v>
      </c>
      <c r="X112">
        <v>316770.93</v>
      </c>
      <c r="Y112">
        <v>554349.13</v>
      </c>
      <c r="Z112">
        <v>554349.13</v>
      </c>
      <c r="AA112">
        <v>475156.4</v>
      </c>
    </row>
    <row r="113" spans="1:49" x14ac:dyDescent="0.3">
      <c r="A113" t="s">
        <v>19</v>
      </c>
      <c r="B113" t="s">
        <v>254</v>
      </c>
      <c r="C113" t="s">
        <v>161</v>
      </c>
      <c r="D113" t="s">
        <v>40</v>
      </c>
      <c r="E113" t="s">
        <v>383</v>
      </c>
      <c r="F113" t="s">
        <v>384</v>
      </c>
      <c r="AA113">
        <v>116163.24</v>
      </c>
      <c r="AB113">
        <v>813142.71</v>
      </c>
      <c r="AC113">
        <v>813142.71</v>
      </c>
      <c r="AD113">
        <v>348489.73</v>
      </c>
    </row>
    <row r="114" spans="1:49" x14ac:dyDescent="0.3">
      <c r="A114" t="s">
        <v>19</v>
      </c>
      <c r="B114" t="s">
        <v>254</v>
      </c>
      <c r="C114" t="s">
        <v>161</v>
      </c>
      <c r="D114" t="s">
        <v>40</v>
      </c>
      <c r="E114" t="s">
        <v>383</v>
      </c>
      <c r="F114" t="s">
        <v>385</v>
      </c>
    </row>
    <row r="115" spans="1:49" x14ac:dyDescent="0.3">
      <c r="A115" t="s">
        <v>19</v>
      </c>
      <c r="B115" t="s">
        <v>254</v>
      </c>
      <c r="C115" t="s">
        <v>161</v>
      </c>
      <c r="D115" t="s">
        <v>40</v>
      </c>
      <c r="E115" t="s">
        <v>383</v>
      </c>
      <c r="F115" t="s">
        <v>386</v>
      </c>
      <c r="AA115">
        <v>116163.24</v>
      </c>
      <c r="AB115">
        <v>813142.71</v>
      </c>
      <c r="AC115">
        <v>813142.71</v>
      </c>
      <c r="AD115">
        <v>348489.73</v>
      </c>
    </row>
    <row r="116" spans="1:49" x14ac:dyDescent="0.3">
      <c r="A116" t="s">
        <v>19</v>
      </c>
      <c r="B116" t="s">
        <v>256</v>
      </c>
      <c r="C116" t="s">
        <v>161</v>
      </c>
      <c r="D116" t="s">
        <v>40</v>
      </c>
      <c r="E116" t="s">
        <v>383</v>
      </c>
      <c r="F116" t="s">
        <v>384</v>
      </c>
      <c r="AO116">
        <v>881547.93</v>
      </c>
      <c r="AP116">
        <v>881547.93</v>
      </c>
      <c r="AQ116">
        <v>881547.93</v>
      </c>
      <c r="AR116">
        <v>125935.42</v>
      </c>
    </row>
    <row r="117" spans="1:49" x14ac:dyDescent="0.3">
      <c r="A117" t="s">
        <v>19</v>
      </c>
      <c r="B117" t="s">
        <v>256</v>
      </c>
      <c r="C117" t="s">
        <v>161</v>
      </c>
      <c r="D117" t="s">
        <v>40</v>
      </c>
      <c r="E117" t="s">
        <v>383</v>
      </c>
      <c r="F117" t="s">
        <v>385</v>
      </c>
    </row>
    <row r="118" spans="1:49" x14ac:dyDescent="0.3">
      <c r="A118" t="s">
        <v>19</v>
      </c>
      <c r="B118" t="s">
        <v>256</v>
      </c>
      <c r="C118" t="s">
        <v>161</v>
      </c>
      <c r="D118" t="s">
        <v>40</v>
      </c>
      <c r="E118" t="s">
        <v>383</v>
      </c>
      <c r="F118" t="s">
        <v>386</v>
      </c>
      <c r="AO118">
        <v>881547.93</v>
      </c>
      <c r="AP118">
        <v>881547.93</v>
      </c>
      <c r="AQ118">
        <v>881547.93</v>
      </c>
      <c r="AR118">
        <v>125935.42</v>
      </c>
    </row>
    <row r="119" spans="1:49" x14ac:dyDescent="0.3">
      <c r="A119" t="s">
        <v>19</v>
      </c>
      <c r="B119" t="s">
        <v>260</v>
      </c>
      <c r="C119" t="s">
        <v>161</v>
      </c>
      <c r="D119" t="s">
        <v>40</v>
      </c>
      <c r="E119" t="s">
        <v>383</v>
      </c>
      <c r="F119" t="s">
        <v>384</v>
      </c>
      <c r="AR119">
        <v>257979.79</v>
      </c>
      <c r="AS119">
        <v>300976.42</v>
      </c>
      <c r="AT119">
        <v>257979.79</v>
      </c>
    </row>
    <row r="120" spans="1:49" x14ac:dyDescent="0.3">
      <c r="A120" t="s">
        <v>19</v>
      </c>
      <c r="B120" t="s">
        <v>260</v>
      </c>
      <c r="C120" t="s">
        <v>161</v>
      </c>
      <c r="D120" t="s">
        <v>40</v>
      </c>
      <c r="E120" t="s">
        <v>383</v>
      </c>
      <c r="F120" t="s">
        <v>385</v>
      </c>
    </row>
    <row r="121" spans="1:49" x14ac:dyDescent="0.3">
      <c r="A121" t="s">
        <v>19</v>
      </c>
      <c r="B121" t="s">
        <v>260</v>
      </c>
      <c r="C121" t="s">
        <v>161</v>
      </c>
      <c r="D121" t="s">
        <v>40</v>
      </c>
      <c r="E121" t="s">
        <v>383</v>
      </c>
      <c r="F121" t="s">
        <v>386</v>
      </c>
      <c r="AR121">
        <v>257979.79</v>
      </c>
      <c r="AS121">
        <v>300976.42</v>
      </c>
      <c r="AT121">
        <v>257979.79</v>
      </c>
    </row>
    <row r="122" spans="1:49" x14ac:dyDescent="0.3">
      <c r="A122" t="s">
        <v>19</v>
      </c>
      <c r="B122" t="s">
        <v>262</v>
      </c>
      <c r="C122" t="s">
        <v>161</v>
      </c>
      <c r="D122" t="s">
        <v>45</v>
      </c>
      <c r="E122" t="s">
        <v>383</v>
      </c>
      <c r="F122" t="s">
        <v>384</v>
      </c>
      <c r="AJ122">
        <v>634875.68000000005</v>
      </c>
      <c r="AK122">
        <v>2222064.88</v>
      </c>
      <c r="AL122">
        <v>2222064.88</v>
      </c>
      <c r="AM122">
        <v>2222064.88</v>
      </c>
      <c r="AN122">
        <v>2222064.88</v>
      </c>
    </row>
    <row r="123" spans="1:49" x14ac:dyDescent="0.3">
      <c r="A123" t="s">
        <v>19</v>
      </c>
      <c r="B123" t="s">
        <v>262</v>
      </c>
      <c r="C123" t="s">
        <v>161</v>
      </c>
      <c r="D123" t="s">
        <v>45</v>
      </c>
      <c r="E123" t="s">
        <v>383</v>
      </c>
      <c r="F123" t="s">
        <v>385</v>
      </c>
    </row>
    <row r="124" spans="1:49" x14ac:dyDescent="0.3">
      <c r="A124" t="s">
        <v>19</v>
      </c>
      <c r="B124" t="s">
        <v>262</v>
      </c>
      <c r="C124" t="s">
        <v>161</v>
      </c>
      <c r="D124" t="s">
        <v>45</v>
      </c>
      <c r="E124" t="s">
        <v>383</v>
      </c>
      <c r="F124" t="s">
        <v>386</v>
      </c>
      <c r="AJ124">
        <v>634875.68000000005</v>
      </c>
      <c r="AK124">
        <v>2222064.88</v>
      </c>
      <c r="AL124">
        <v>2222064.88</v>
      </c>
      <c r="AM124">
        <v>2222064.88</v>
      </c>
      <c r="AN124">
        <v>2222064.88</v>
      </c>
    </row>
    <row r="125" spans="1:49" x14ac:dyDescent="0.3">
      <c r="A125" t="s">
        <v>19</v>
      </c>
      <c r="B125" t="s">
        <v>267</v>
      </c>
      <c r="C125" t="s">
        <v>161</v>
      </c>
      <c r="D125" t="s">
        <v>31</v>
      </c>
      <c r="E125" t="s">
        <v>383</v>
      </c>
      <c r="F125" t="s">
        <v>384</v>
      </c>
      <c r="AT125">
        <v>320626.65000000002</v>
      </c>
      <c r="AU125">
        <v>2244386.58</v>
      </c>
      <c r="AV125">
        <v>2244386.58</v>
      </c>
      <c r="AW125">
        <v>2244386.58</v>
      </c>
    </row>
    <row r="126" spans="1:49" x14ac:dyDescent="0.3">
      <c r="A126" t="s">
        <v>19</v>
      </c>
      <c r="B126" t="s">
        <v>267</v>
      </c>
      <c r="C126" t="s">
        <v>161</v>
      </c>
      <c r="D126" t="s">
        <v>31</v>
      </c>
      <c r="E126" t="s">
        <v>383</v>
      </c>
      <c r="F126" t="s">
        <v>385</v>
      </c>
    </row>
    <row r="127" spans="1:49" x14ac:dyDescent="0.3">
      <c r="A127" t="s">
        <v>19</v>
      </c>
      <c r="B127" t="s">
        <v>267</v>
      </c>
      <c r="C127" t="s">
        <v>161</v>
      </c>
      <c r="D127" t="s">
        <v>31</v>
      </c>
      <c r="E127" t="s">
        <v>383</v>
      </c>
      <c r="F127" t="s">
        <v>386</v>
      </c>
      <c r="AT127">
        <v>320626.65000000002</v>
      </c>
      <c r="AU127">
        <v>2244386.58</v>
      </c>
      <c r="AV127">
        <v>2244386.58</v>
      </c>
      <c r="AW127">
        <v>2244386.58</v>
      </c>
    </row>
    <row r="128" spans="1:49" x14ac:dyDescent="0.3">
      <c r="A128" t="s">
        <v>19</v>
      </c>
      <c r="B128" t="s">
        <v>270</v>
      </c>
      <c r="C128" t="s">
        <v>161</v>
      </c>
      <c r="D128" t="s">
        <v>61</v>
      </c>
      <c r="E128" t="s">
        <v>383</v>
      </c>
      <c r="F128" t="s">
        <v>384</v>
      </c>
      <c r="AS128">
        <v>26683.47</v>
      </c>
      <c r="AT128">
        <v>53366.93</v>
      </c>
    </row>
    <row r="129" spans="1:53" x14ac:dyDescent="0.3">
      <c r="A129" t="s">
        <v>19</v>
      </c>
      <c r="B129" t="s">
        <v>270</v>
      </c>
      <c r="C129" t="s">
        <v>161</v>
      </c>
      <c r="D129" t="s">
        <v>61</v>
      </c>
      <c r="E129" t="s">
        <v>383</v>
      </c>
      <c r="F129" t="s">
        <v>385</v>
      </c>
    </row>
    <row r="130" spans="1:53" x14ac:dyDescent="0.3">
      <c r="A130" t="s">
        <v>19</v>
      </c>
      <c r="B130" t="s">
        <v>270</v>
      </c>
      <c r="C130" t="s">
        <v>161</v>
      </c>
      <c r="D130" t="s">
        <v>61</v>
      </c>
      <c r="E130" t="s">
        <v>383</v>
      </c>
      <c r="F130" t="s">
        <v>386</v>
      </c>
      <c r="AS130">
        <v>26683.47</v>
      </c>
      <c r="AT130">
        <v>53366.93</v>
      </c>
    </row>
    <row r="131" spans="1:53" x14ac:dyDescent="0.3">
      <c r="A131" t="s">
        <v>19</v>
      </c>
      <c r="B131" t="s">
        <v>273</v>
      </c>
      <c r="C131" t="s">
        <v>161</v>
      </c>
      <c r="D131" t="s">
        <v>64</v>
      </c>
      <c r="E131" t="s">
        <v>383</v>
      </c>
      <c r="F131" t="s">
        <v>384</v>
      </c>
      <c r="AT131">
        <v>5387.12</v>
      </c>
      <c r="AU131">
        <v>37709.839999999997</v>
      </c>
      <c r="AV131">
        <v>10774.24</v>
      </c>
    </row>
    <row r="132" spans="1:53" x14ac:dyDescent="0.3">
      <c r="A132" t="s">
        <v>19</v>
      </c>
      <c r="B132" t="s">
        <v>273</v>
      </c>
      <c r="C132" t="s">
        <v>161</v>
      </c>
      <c r="D132" t="s">
        <v>64</v>
      </c>
      <c r="E132" t="s">
        <v>383</v>
      </c>
      <c r="F132" t="s">
        <v>385</v>
      </c>
    </row>
    <row r="133" spans="1:53" x14ac:dyDescent="0.3">
      <c r="A133" t="s">
        <v>19</v>
      </c>
      <c r="B133" t="s">
        <v>273</v>
      </c>
      <c r="C133" t="s">
        <v>161</v>
      </c>
      <c r="D133" t="s">
        <v>64</v>
      </c>
      <c r="E133" t="s">
        <v>383</v>
      </c>
      <c r="F133" t="s">
        <v>386</v>
      </c>
      <c r="AT133">
        <v>5387.12</v>
      </c>
      <c r="AU133">
        <v>37709.839999999997</v>
      </c>
      <c r="AV133">
        <v>10774.24</v>
      </c>
    </row>
    <row r="134" spans="1:53" x14ac:dyDescent="0.3">
      <c r="A134" t="s">
        <v>19</v>
      </c>
      <c r="B134" t="s">
        <v>275</v>
      </c>
      <c r="C134" t="s">
        <v>161</v>
      </c>
      <c r="D134" t="s">
        <v>35</v>
      </c>
      <c r="E134" t="s">
        <v>383</v>
      </c>
      <c r="F134" t="s">
        <v>384</v>
      </c>
      <c r="AX134">
        <v>406122</v>
      </c>
      <c r="AY134">
        <v>406122</v>
      </c>
      <c r="AZ134">
        <v>406122</v>
      </c>
      <c r="BA134">
        <v>406122</v>
      </c>
    </row>
    <row r="135" spans="1:53" x14ac:dyDescent="0.3">
      <c r="A135" t="s">
        <v>19</v>
      </c>
      <c r="B135" t="s">
        <v>275</v>
      </c>
      <c r="C135" t="s">
        <v>161</v>
      </c>
      <c r="D135" t="s">
        <v>35</v>
      </c>
      <c r="E135" t="s">
        <v>383</v>
      </c>
      <c r="F135" t="s">
        <v>385</v>
      </c>
    </row>
    <row r="136" spans="1:53" x14ac:dyDescent="0.3">
      <c r="A136" t="s">
        <v>19</v>
      </c>
      <c r="B136" t="s">
        <v>275</v>
      </c>
      <c r="C136" t="s">
        <v>161</v>
      </c>
      <c r="D136" t="s">
        <v>35</v>
      </c>
      <c r="E136" t="s">
        <v>383</v>
      </c>
      <c r="F136" t="s">
        <v>386</v>
      </c>
      <c r="AX136">
        <v>406122</v>
      </c>
      <c r="AY136">
        <v>406122</v>
      </c>
      <c r="AZ136">
        <v>406122</v>
      </c>
      <c r="BA136">
        <v>406122</v>
      </c>
    </row>
    <row r="137" spans="1:53" x14ac:dyDescent="0.3">
      <c r="A137" t="s">
        <v>19</v>
      </c>
      <c r="B137" t="s">
        <v>278</v>
      </c>
      <c r="C137" t="s">
        <v>161</v>
      </c>
      <c r="D137" t="s">
        <v>40</v>
      </c>
      <c r="E137" t="s">
        <v>383</v>
      </c>
      <c r="F137" t="s">
        <v>384</v>
      </c>
      <c r="R137">
        <v>53350.879999999997</v>
      </c>
      <c r="S137">
        <v>373456.16</v>
      </c>
      <c r="T137">
        <v>373456.16</v>
      </c>
      <c r="U137">
        <v>266754.40000000002</v>
      </c>
    </row>
    <row r="138" spans="1:53" x14ac:dyDescent="0.3">
      <c r="A138" t="s">
        <v>19</v>
      </c>
      <c r="B138" t="s">
        <v>278</v>
      </c>
      <c r="C138" t="s">
        <v>161</v>
      </c>
      <c r="D138" t="s">
        <v>40</v>
      </c>
      <c r="E138" t="s">
        <v>383</v>
      </c>
      <c r="F138" t="s">
        <v>385</v>
      </c>
    </row>
    <row r="139" spans="1:53" x14ac:dyDescent="0.3">
      <c r="A139" t="s">
        <v>19</v>
      </c>
      <c r="B139" t="s">
        <v>278</v>
      </c>
      <c r="C139" t="s">
        <v>161</v>
      </c>
      <c r="D139" t="s">
        <v>40</v>
      </c>
      <c r="E139" t="s">
        <v>383</v>
      </c>
      <c r="F139" t="s">
        <v>386</v>
      </c>
      <c r="R139">
        <v>53350.879999999997</v>
      </c>
      <c r="S139">
        <v>373456.16</v>
      </c>
      <c r="T139">
        <v>373456.16</v>
      </c>
      <c r="U139">
        <v>266754.40000000002</v>
      </c>
    </row>
    <row r="140" spans="1:53" x14ac:dyDescent="0.3">
      <c r="A140" t="s">
        <v>19</v>
      </c>
      <c r="B140" t="s">
        <v>281</v>
      </c>
      <c r="C140" t="s">
        <v>161</v>
      </c>
      <c r="D140" t="s">
        <v>40</v>
      </c>
      <c r="E140" t="s">
        <v>383</v>
      </c>
      <c r="F140" t="s">
        <v>384</v>
      </c>
      <c r="AI140">
        <v>96698.48</v>
      </c>
      <c r="AJ140">
        <v>676889.36</v>
      </c>
      <c r="AK140">
        <v>193396.96</v>
      </c>
    </row>
    <row r="141" spans="1:53" x14ac:dyDescent="0.3">
      <c r="A141" t="s">
        <v>19</v>
      </c>
      <c r="B141" t="s">
        <v>281</v>
      </c>
      <c r="C141" t="s">
        <v>161</v>
      </c>
      <c r="D141" t="s">
        <v>40</v>
      </c>
      <c r="E141" t="s">
        <v>383</v>
      </c>
      <c r="F141" t="s">
        <v>385</v>
      </c>
    </row>
    <row r="142" spans="1:53" x14ac:dyDescent="0.3">
      <c r="A142" t="s">
        <v>19</v>
      </c>
      <c r="B142" t="s">
        <v>281</v>
      </c>
      <c r="C142" t="s">
        <v>161</v>
      </c>
      <c r="D142" t="s">
        <v>40</v>
      </c>
      <c r="E142" t="s">
        <v>383</v>
      </c>
      <c r="F142" t="s">
        <v>386</v>
      </c>
      <c r="AI142">
        <v>96698.48</v>
      </c>
      <c r="AJ142">
        <v>676889.36</v>
      </c>
      <c r="AK142">
        <v>193396.96</v>
      </c>
    </row>
    <row r="143" spans="1:53" x14ac:dyDescent="0.3">
      <c r="A143" t="s">
        <v>19</v>
      </c>
      <c r="B143" t="s">
        <v>283</v>
      </c>
      <c r="C143" t="s">
        <v>161</v>
      </c>
      <c r="D143" t="s">
        <v>40</v>
      </c>
      <c r="E143" t="s">
        <v>383</v>
      </c>
      <c r="F143" t="s">
        <v>384</v>
      </c>
      <c r="W143">
        <v>10003.299999999999</v>
      </c>
      <c r="X143">
        <v>70023.100000000006</v>
      </c>
      <c r="Y143">
        <v>70023.100000000006</v>
      </c>
      <c r="Z143">
        <v>10003.299999999999</v>
      </c>
    </row>
    <row r="144" spans="1:53" x14ac:dyDescent="0.3">
      <c r="A144" t="s">
        <v>19</v>
      </c>
      <c r="B144" t="s">
        <v>283</v>
      </c>
      <c r="C144" t="s">
        <v>161</v>
      </c>
      <c r="D144" t="s">
        <v>40</v>
      </c>
      <c r="E144" t="s">
        <v>383</v>
      </c>
      <c r="F144" t="s">
        <v>385</v>
      </c>
    </row>
    <row r="145" spans="1:51" x14ac:dyDescent="0.3">
      <c r="A145" t="s">
        <v>19</v>
      </c>
      <c r="B145" t="s">
        <v>283</v>
      </c>
      <c r="C145" t="s">
        <v>161</v>
      </c>
      <c r="D145" t="s">
        <v>40</v>
      </c>
      <c r="E145" t="s">
        <v>383</v>
      </c>
      <c r="F145" t="s">
        <v>386</v>
      </c>
      <c r="W145">
        <v>10003.299999999999</v>
      </c>
      <c r="X145">
        <v>70023.100000000006</v>
      </c>
      <c r="Y145">
        <v>70023.100000000006</v>
      </c>
      <c r="Z145">
        <v>10003.299999999999</v>
      </c>
    </row>
    <row r="146" spans="1:51" x14ac:dyDescent="0.3">
      <c r="A146" t="s">
        <v>19</v>
      </c>
      <c r="B146" t="s">
        <v>285</v>
      </c>
      <c r="C146" t="s">
        <v>161</v>
      </c>
      <c r="D146" t="s">
        <v>40</v>
      </c>
      <c r="E146" t="s">
        <v>383</v>
      </c>
      <c r="F146" t="s">
        <v>384</v>
      </c>
      <c r="AA146">
        <v>79192.73</v>
      </c>
      <c r="AB146">
        <v>554349.13</v>
      </c>
      <c r="AC146">
        <v>554349.13</v>
      </c>
      <c r="AD146">
        <v>554349.13</v>
      </c>
      <c r="AE146">
        <v>158385.47</v>
      </c>
    </row>
    <row r="147" spans="1:51" x14ac:dyDescent="0.3">
      <c r="A147" t="s">
        <v>19</v>
      </c>
      <c r="B147" t="s">
        <v>285</v>
      </c>
      <c r="C147" t="s">
        <v>161</v>
      </c>
      <c r="D147" t="s">
        <v>40</v>
      </c>
      <c r="E147" t="s">
        <v>383</v>
      </c>
      <c r="F147" t="s">
        <v>385</v>
      </c>
    </row>
    <row r="148" spans="1:51" x14ac:dyDescent="0.3">
      <c r="A148" t="s">
        <v>19</v>
      </c>
      <c r="B148" t="s">
        <v>285</v>
      </c>
      <c r="C148" t="s">
        <v>161</v>
      </c>
      <c r="D148" t="s">
        <v>40</v>
      </c>
      <c r="E148" t="s">
        <v>383</v>
      </c>
      <c r="F148" t="s">
        <v>386</v>
      </c>
      <c r="AA148">
        <v>79192.73</v>
      </c>
      <c r="AB148">
        <v>554349.13</v>
      </c>
      <c r="AC148">
        <v>554349.13</v>
      </c>
      <c r="AD148">
        <v>554349.13</v>
      </c>
      <c r="AE148">
        <v>158385.47</v>
      </c>
    </row>
    <row r="149" spans="1:51" x14ac:dyDescent="0.3">
      <c r="A149" t="s">
        <v>19</v>
      </c>
      <c r="B149" t="s">
        <v>287</v>
      </c>
      <c r="C149" t="s">
        <v>161</v>
      </c>
      <c r="D149" t="s">
        <v>40</v>
      </c>
      <c r="E149" t="s">
        <v>383</v>
      </c>
      <c r="F149" t="s">
        <v>384</v>
      </c>
      <c r="AE149">
        <v>464652.98</v>
      </c>
      <c r="AG149">
        <v>116163.24</v>
      </c>
      <c r="AH149">
        <v>813142.71</v>
      </c>
      <c r="AI149">
        <v>696979.47</v>
      </c>
    </row>
    <row r="150" spans="1:51" x14ac:dyDescent="0.3">
      <c r="A150" t="s">
        <v>19</v>
      </c>
      <c r="B150" t="s">
        <v>287</v>
      </c>
      <c r="C150" t="s">
        <v>161</v>
      </c>
      <c r="D150" t="s">
        <v>40</v>
      </c>
      <c r="E150" t="s">
        <v>383</v>
      </c>
      <c r="F150" t="s">
        <v>385</v>
      </c>
    </row>
    <row r="151" spans="1:51" x14ac:dyDescent="0.3">
      <c r="A151" t="s">
        <v>19</v>
      </c>
      <c r="B151" t="s">
        <v>287</v>
      </c>
      <c r="C151" t="s">
        <v>161</v>
      </c>
      <c r="D151" t="s">
        <v>40</v>
      </c>
      <c r="E151" t="s">
        <v>383</v>
      </c>
      <c r="F151" t="s">
        <v>386</v>
      </c>
      <c r="AE151">
        <v>464652.98</v>
      </c>
      <c r="AG151">
        <v>116163.24</v>
      </c>
      <c r="AH151">
        <v>813142.71</v>
      </c>
      <c r="AI151">
        <v>696979.47</v>
      </c>
    </row>
    <row r="152" spans="1:51" x14ac:dyDescent="0.3">
      <c r="A152" t="s">
        <v>19</v>
      </c>
      <c r="B152" t="s">
        <v>289</v>
      </c>
      <c r="C152" t="s">
        <v>161</v>
      </c>
      <c r="D152" t="s">
        <v>40</v>
      </c>
      <c r="E152" t="s">
        <v>383</v>
      </c>
      <c r="F152" t="s">
        <v>384</v>
      </c>
      <c r="AS152">
        <v>629677.09</v>
      </c>
      <c r="AT152">
        <v>881547.93</v>
      </c>
      <c r="AU152">
        <v>881547.93</v>
      </c>
      <c r="AV152">
        <v>377806.25</v>
      </c>
    </row>
    <row r="153" spans="1:51" x14ac:dyDescent="0.3">
      <c r="A153" t="s">
        <v>19</v>
      </c>
      <c r="B153" t="s">
        <v>289</v>
      </c>
      <c r="C153" t="s">
        <v>161</v>
      </c>
      <c r="D153" t="s">
        <v>40</v>
      </c>
      <c r="E153" t="s">
        <v>383</v>
      </c>
      <c r="F153" t="s">
        <v>385</v>
      </c>
    </row>
    <row r="154" spans="1:51" x14ac:dyDescent="0.3">
      <c r="A154" t="s">
        <v>19</v>
      </c>
      <c r="B154" t="s">
        <v>289</v>
      </c>
      <c r="C154" t="s">
        <v>161</v>
      </c>
      <c r="D154" t="s">
        <v>40</v>
      </c>
      <c r="E154" t="s">
        <v>383</v>
      </c>
      <c r="F154" t="s">
        <v>386</v>
      </c>
      <c r="AS154">
        <v>629677.09</v>
      </c>
      <c r="AT154">
        <v>881547.93</v>
      </c>
      <c r="AU154">
        <v>881547.93</v>
      </c>
      <c r="AV154">
        <v>377806.25</v>
      </c>
    </row>
    <row r="155" spans="1:51" x14ac:dyDescent="0.3">
      <c r="A155" t="s">
        <v>19</v>
      </c>
      <c r="B155" t="s">
        <v>291</v>
      </c>
      <c r="C155" t="s">
        <v>161</v>
      </c>
      <c r="D155" t="s">
        <v>40</v>
      </c>
      <c r="E155" t="s">
        <v>383</v>
      </c>
      <c r="F155" t="s">
        <v>384</v>
      </c>
      <c r="AV155">
        <v>171986.53</v>
      </c>
      <c r="AW155">
        <v>300976.42</v>
      </c>
      <c r="AX155">
        <v>300976.42</v>
      </c>
      <c r="AY155">
        <v>42996.63</v>
      </c>
    </row>
    <row r="156" spans="1:51" x14ac:dyDescent="0.3">
      <c r="A156" t="s">
        <v>19</v>
      </c>
      <c r="B156" t="s">
        <v>291</v>
      </c>
      <c r="C156" t="s">
        <v>161</v>
      </c>
      <c r="D156" t="s">
        <v>40</v>
      </c>
      <c r="E156" t="s">
        <v>383</v>
      </c>
      <c r="F156" t="s">
        <v>385</v>
      </c>
    </row>
    <row r="157" spans="1:51" x14ac:dyDescent="0.3">
      <c r="A157" t="s">
        <v>19</v>
      </c>
      <c r="B157" t="s">
        <v>291</v>
      </c>
      <c r="C157" t="s">
        <v>161</v>
      </c>
      <c r="D157" t="s">
        <v>40</v>
      </c>
      <c r="E157" t="s">
        <v>383</v>
      </c>
      <c r="F157" t="s">
        <v>386</v>
      </c>
      <c r="AV157">
        <v>171986.53</v>
      </c>
      <c r="AW157">
        <v>300976.42</v>
      </c>
      <c r="AX157">
        <v>300976.42</v>
      </c>
      <c r="AY157">
        <v>42996.63</v>
      </c>
    </row>
    <row r="158" spans="1:51" x14ac:dyDescent="0.3">
      <c r="A158" t="s">
        <v>19</v>
      </c>
      <c r="B158" t="s">
        <v>293</v>
      </c>
      <c r="C158" t="s">
        <v>161</v>
      </c>
      <c r="D158" t="s">
        <v>45</v>
      </c>
      <c r="E158" t="s">
        <v>383</v>
      </c>
      <c r="F158" t="s">
        <v>384</v>
      </c>
      <c r="AO158">
        <v>2222064.88</v>
      </c>
      <c r="AP158">
        <v>2222064.88</v>
      </c>
      <c r="AQ158">
        <v>2222064.88</v>
      </c>
      <c r="AR158">
        <v>2222064.88</v>
      </c>
      <c r="AS158">
        <v>634875.68000000005</v>
      </c>
    </row>
    <row r="159" spans="1:51" x14ac:dyDescent="0.3">
      <c r="A159" t="s">
        <v>19</v>
      </c>
      <c r="B159" t="s">
        <v>293</v>
      </c>
      <c r="C159" t="s">
        <v>161</v>
      </c>
      <c r="D159" t="s">
        <v>45</v>
      </c>
      <c r="E159" t="s">
        <v>383</v>
      </c>
      <c r="F159" t="s">
        <v>385</v>
      </c>
    </row>
    <row r="160" spans="1:51" x14ac:dyDescent="0.3">
      <c r="A160" t="s">
        <v>19</v>
      </c>
      <c r="B160" t="s">
        <v>293</v>
      </c>
      <c r="C160" t="s">
        <v>161</v>
      </c>
      <c r="D160" t="s">
        <v>45</v>
      </c>
      <c r="E160" t="s">
        <v>383</v>
      </c>
      <c r="F160" t="s">
        <v>386</v>
      </c>
      <c r="AO160">
        <v>2222064.88</v>
      </c>
      <c r="AP160">
        <v>2222064.88</v>
      </c>
      <c r="AQ160">
        <v>2222064.88</v>
      </c>
      <c r="AR160">
        <v>2222064.88</v>
      </c>
      <c r="AS160">
        <v>634875.68000000005</v>
      </c>
    </row>
    <row r="161" spans="1:58" x14ac:dyDescent="0.3">
      <c r="A161" t="s">
        <v>19</v>
      </c>
      <c r="B161" t="s">
        <v>298</v>
      </c>
      <c r="C161" t="s">
        <v>161</v>
      </c>
      <c r="D161" t="s">
        <v>31</v>
      </c>
      <c r="E161" t="s">
        <v>383</v>
      </c>
      <c r="F161" t="s">
        <v>384</v>
      </c>
      <c r="AY161">
        <v>1923759.93</v>
      </c>
      <c r="AZ161">
        <v>2244386.58</v>
      </c>
      <c r="BA161">
        <v>2244386.58</v>
      </c>
      <c r="BB161">
        <v>641253.31000000006</v>
      </c>
    </row>
    <row r="162" spans="1:58" x14ac:dyDescent="0.3">
      <c r="A162" t="s">
        <v>19</v>
      </c>
      <c r="B162" t="s">
        <v>298</v>
      </c>
      <c r="C162" t="s">
        <v>161</v>
      </c>
      <c r="D162" t="s">
        <v>31</v>
      </c>
      <c r="E162" t="s">
        <v>383</v>
      </c>
      <c r="F162" t="s">
        <v>385</v>
      </c>
    </row>
    <row r="163" spans="1:58" x14ac:dyDescent="0.3">
      <c r="A163" t="s">
        <v>19</v>
      </c>
      <c r="B163" t="s">
        <v>298</v>
      </c>
      <c r="C163" t="s">
        <v>161</v>
      </c>
      <c r="D163" t="s">
        <v>31</v>
      </c>
      <c r="E163" t="s">
        <v>383</v>
      </c>
      <c r="F163" t="s">
        <v>386</v>
      </c>
      <c r="AY163">
        <v>1923759.93</v>
      </c>
      <c r="AZ163">
        <v>2244386.58</v>
      </c>
      <c r="BA163">
        <v>2244386.58</v>
      </c>
      <c r="BB163">
        <v>641253.31000000006</v>
      </c>
    </row>
    <row r="164" spans="1:58" x14ac:dyDescent="0.3">
      <c r="A164" t="s">
        <v>19</v>
      </c>
      <c r="B164" t="s">
        <v>301</v>
      </c>
      <c r="C164" t="s">
        <v>161</v>
      </c>
      <c r="D164" t="s">
        <v>61</v>
      </c>
      <c r="E164" t="s">
        <v>383</v>
      </c>
      <c r="F164" t="s">
        <v>384</v>
      </c>
      <c r="AW164">
        <v>8894.49</v>
      </c>
      <c r="AX164">
        <v>62261.42</v>
      </c>
      <c r="AY164">
        <v>8894.49</v>
      </c>
    </row>
    <row r="165" spans="1:58" x14ac:dyDescent="0.3">
      <c r="A165" t="s">
        <v>19</v>
      </c>
      <c r="B165" t="s">
        <v>301</v>
      </c>
      <c r="C165" t="s">
        <v>161</v>
      </c>
      <c r="D165" t="s">
        <v>61</v>
      </c>
      <c r="E165" t="s">
        <v>383</v>
      </c>
      <c r="F165" t="s">
        <v>385</v>
      </c>
    </row>
    <row r="166" spans="1:58" x14ac:dyDescent="0.3">
      <c r="A166" t="s">
        <v>19</v>
      </c>
      <c r="B166" t="s">
        <v>301</v>
      </c>
      <c r="C166" t="s">
        <v>161</v>
      </c>
      <c r="D166" t="s">
        <v>61</v>
      </c>
      <c r="E166" t="s">
        <v>383</v>
      </c>
      <c r="F166" t="s">
        <v>386</v>
      </c>
      <c r="AW166">
        <v>8894.49</v>
      </c>
      <c r="AX166">
        <v>62261.42</v>
      </c>
      <c r="AY166">
        <v>8894.49</v>
      </c>
    </row>
    <row r="167" spans="1:58" x14ac:dyDescent="0.3">
      <c r="A167" t="s">
        <v>19</v>
      </c>
      <c r="B167" t="s">
        <v>304</v>
      </c>
      <c r="C167" t="s">
        <v>161</v>
      </c>
      <c r="D167" t="s">
        <v>64</v>
      </c>
      <c r="E167" t="s">
        <v>383</v>
      </c>
      <c r="F167" t="s">
        <v>384</v>
      </c>
      <c r="AY167">
        <v>32322.720000000001</v>
      </c>
      <c r="AZ167">
        <v>21548.48</v>
      </c>
    </row>
    <row r="168" spans="1:58" x14ac:dyDescent="0.3">
      <c r="A168" t="s">
        <v>19</v>
      </c>
      <c r="B168" t="s">
        <v>304</v>
      </c>
      <c r="C168" t="s">
        <v>161</v>
      </c>
      <c r="D168" t="s">
        <v>64</v>
      </c>
      <c r="E168" t="s">
        <v>383</v>
      </c>
      <c r="F168" t="s">
        <v>385</v>
      </c>
    </row>
    <row r="169" spans="1:58" x14ac:dyDescent="0.3">
      <c r="A169" t="s">
        <v>19</v>
      </c>
      <c r="B169" t="s">
        <v>304</v>
      </c>
      <c r="C169" t="s">
        <v>161</v>
      </c>
      <c r="D169" t="s">
        <v>64</v>
      </c>
      <c r="E169" t="s">
        <v>383</v>
      </c>
      <c r="F169" t="s">
        <v>386</v>
      </c>
      <c r="AY169">
        <v>32322.720000000001</v>
      </c>
      <c r="AZ169">
        <v>21548.48</v>
      </c>
    </row>
    <row r="170" spans="1:58" x14ac:dyDescent="0.3">
      <c r="A170" t="s">
        <v>19</v>
      </c>
      <c r="B170" t="s">
        <v>306</v>
      </c>
      <c r="C170" t="s">
        <v>161</v>
      </c>
      <c r="D170" t="s">
        <v>35</v>
      </c>
      <c r="E170" t="s">
        <v>383</v>
      </c>
      <c r="F170" t="s">
        <v>384</v>
      </c>
      <c r="BB170">
        <v>290087.14</v>
      </c>
      <c r="BC170">
        <v>406122</v>
      </c>
      <c r="BD170">
        <v>406122</v>
      </c>
      <c r="BE170">
        <v>406122</v>
      </c>
      <c r="BF170">
        <v>116034.86</v>
      </c>
    </row>
    <row r="171" spans="1:58" x14ac:dyDescent="0.3">
      <c r="A171" t="s">
        <v>19</v>
      </c>
      <c r="B171" t="s">
        <v>306</v>
      </c>
      <c r="C171" t="s">
        <v>161</v>
      </c>
      <c r="D171" t="s">
        <v>35</v>
      </c>
      <c r="E171" t="s">
        <v>383</v>
      </c>
      <c r="F171" t="s">
        <v>385</v>
      </c>
    </row>
    <row r="172" spans="1:58" x14ac:dyDescent="0.3">
      <c r="A172" t="s">
        <v>19</v>
      </c>
      <c r="B172" t="s">
        <v>306</v>
      </c>
      <c r="C172" t="s">
        <v>161</v>
      </c>
      <c r="D172" t="s">
        <v>35</v>
      </c>
      <c r="E172" t="s">
        <v>383</v>
      </c>
      <c r="F172" t="s">
        <v>386</v>
      </c>
      <c r="BB172">
        <v>290087.14</v>
      </c>
      <c r="BC172">
        <v>406122</v>
      </c>
      <c r="BD172">
        <v>406122</v>
      </c>
      <c r="BE172">
        <v>406122</v>
      </c>
      <c r="BF172">
        <v>116034.86</v>
      </c>
    </row>
    <row r="173" spans="1:58" x14ac:dyDescent="0.3">
      <c r="A173" t="s">
        <v>19</v>
      </c>
      <c r="B173" t="s">
        <v>309</v>
      </c>
      <c r="C173" t="s">
        <v>312</v>
      </c>
      <c r="D173" t="s">
        <v>45</v>
      </c>
      <c r="E173" t="s">
        <v>383</v>
      </c>
      <c r="F173" t="s">
        <v>384</v>
      </c>
    </row>
    <row r="174" spans="1:58" x14ac:dyDescent="0.3">
      <c r="A174" t="s">
        <v>19</v>
      </c>
      <c r="B174" t="s">
        <v>309</v>
      </c>
      <c r="C174" t="s">
        <v>312</v>
      </c>
      <c r="D174" t="s">
        <v>45</v>
      </c>
      <c r="E174" t="s">
        <v>383</v>
      </c>
      <c r="F174" t="s">
        <v>385</v>
      </c>
    </row>
    <row r="175" spans="1:58" x14ac:dyDescent="0.3">
      <c r="A175" t="s">
        <v>19</v>
      </c>
      <c r="B175" t="s">
        <v>309</v>
      </c>
      <c r="C175" t="s">
        <v>312</v>
      </c>
      <c r="D175" t="s">
        <v>45</v>
      </c>
      <c r="E175" t="s">
        <v>383</v>
      </c>
      <c r="F175" t="s">
        <v>386</v>
      </c>
    </row>
    <row r="176" spans="1:58" x14ac:dyDescent="0.3">
      <c r="A176" t="s">
        <v>19</v>
      </c>
      <c r="B176" t="s">
        <v>313</v>
      </c>
      <c r="C176" t="s">
        <v>312</v>
      </c>
      <c r="D176" t="s">
        <v>31</v>
      </c>
      <c r="E176" t="s">
        <v>383</v>
      </c>
      <c r="F176" t="s">
        <v>384</v>
      </c>
    </row>
    <row r="177" spans="1:6" x14ac:dyDescent="0.3">
      <c r="A177" t="s">
        <v>19</v>
      </c>
      <c r="B177" t="s">
        <v>313</v>
      </c>
      <c r="C177" t="s">
        <v>312</v>
      </c>
      <c r="D177" t="s">
        <v>31</v>
      </c>
      <c r="E177" t="s">
        <v>383</v>
      </c>
      <c r="F177" t="s">
        <v>385</v>
      </c>
    </row>
    <row r="178" spans="1:6" x14ac:dyDescent="0.3">
      <c r="A178" t="s">
        <v>19</v>
      </c>
      <c r="B178" t="s">
        <v>313</v>
      </c>
      <c r="C178" t="s">
        <v>312</v>
      </c>
      <c r="D178" t="s">
        <v>31</v>
      </c>
      <c r="E178" t="s">
        <v>383</v>
      </c>
      <c r="F178" t="s">
        <v>386</v>
      </c>
    </row>
    <row r="179" spans="1:6" x14ac:dyDescent="0.3">
      <c r="A179" t="s">
        <v>19</v>
      </c>
      <c r="B179" t="s">
        <v>316</v>
      </c>
      <c r="C179" t="s">
        <v>312</v>
      </c>
      <c r="D179" t="s">
        <v>61</v>
      </c>
      <c r="E179" t="s">
        <v>383</v>
      </c>
      <c r="F179" t="s">
        <v>384</v>
      </c>
    </row>
    <row r="180" spans="1:6" x14ac:dyDescent="0.3">
      <c r="A180" t="s">
        <v>19</v>
      </c>
      <c r="B180" t="s">
        <v>316</v>
      </c>
      <c r="C180" t="s">
        <v>312</v>
      </c>
      <c r="D180" t="s">
        <v>61</v>
      </c>
      <c r="E180" t="s">
        <v>383</v>
      </c>
      <c r="F180" t="s">
        <v>385</v>
      </c>
    </row>
    <row r="181" spans="1:6" x14ac:dyDescent="0.3">
      <c r="A181" t="s">
        <v>19</v>
      </c>
      <c r="B181" t="s">
        <v>316</v>
      </c>
      <c r="C181" t="s">
        <v>312</v>
      </c>
      <c r="D181" t="s">
        <v>61</v>
      </c>
      <c r="E181" t="s">
        <v>383</v>
      </c>
      <c r="F181" t="s">
        <v>386</v>
      </c>
    </row>
    <row r="182" spans="1:6" x14ac:dyDescent="0.3">
      <c r="A182" t="s">
        <v>19</v>
      </c>
      <c r="B182" t="s">
        <v>319</v>
      </c>
      <c r="C182" t="s">
        <v>312</v>
      </c>
      <c r="D182" t="s">
        <v>64</v>
      </c>
      <c r="E182" t="s">
        <v>383</v>
      </c>
      <c r="F182" t="s">
        <v>384</v>
      </c>
    </row>
    <row r="183" spans="1:6" x14ac:dyDescent="0.3">
      <c r="A183" t="s">
        <v>19</v>
      </c>
      <c r="B183" t="s">
        <v>319</v>
      </c>
      <c r="C183" t="s">
        <v>312</v>
      </c>
      <c r="D183" t="s">
        <v>64</v>
      </c>
      <c r="E183" t="s">
        <v>383</v>
      </c>
      <c r="F183" t="s">
        <v>385</v>
      </c>
    </row>
    <row r="184" spans="1:6" x14ac:dyDescent="0.3">
      <c r="A184" t="s">
        <v>19</v>
      </c>
      <c r="B184" t="s">
        <v>319</v>
      </c>
      <c r="C184" t="s">
        <v>312</v>
      </c>
      <c r="D184" t="s">
        <v>64</v>
      </c>
      <c r="E184" t="s">
        <v>383</v>
      </c>
      <c r="F184" t="s">
        <v>386</v>
      </c>
    </row>
    <row r="185" spans="1:6" x14ac:dyDescent="0.3">
      <c r="A185" t="s">
        <v>19</v>
      </c>
      <c r="B185" t="s">
        <v>321</v>
      </c>
      <c r="C185" t="s">
        <v>312</v>
      </c>
      <c r="D185" t="s">
        <v>35</v>
      </c>
      <c r="E185" t="s">
        <v>383</v>
      </c>
      <c r="F185" t="s">
        <v>384</v>
      </c>
    </row>
    <row r="186" spans="1:6" x14ac:dyDescent="0.3">
      <c r="A186" t="s">
        <v>19</v>
      </c>
      <c r="B186" t="s">
        <v>321</v>
      </c>
      <c r="C186" t="s">
        <v>312</v>
      </c>
      <c r="D186" t="s">
        <v>35</v>
      </c>
      <c r="E186" t="s">
        <v>383</v>
      </c>
      <c r="F186" t="s">
        <v>385</v>
      </c>
    </row>
    <row r="187" spans="1:6" x14ac:dyDescent="0.3">
      <c r="A187" t="s">
        <v>19</v>
      </c>
      <c r="B187" t="s">
        <v>321</v>
      </c>
      <c r="C187" t="s">
        <v>312</v>
      </c>
      <c r="D187" t="s">
        <v>35</v>
      </c>
      <c r="E187" t="s">
        <v>383</v>
      </c>
      <c r="F187" t="s">
        <v>386</v>
      </c>
    </row>
    <row r="188" spans="1:6" x14ac:dyDescent="0.3">
      <c r="A188" t="s">
        <v>19</v>
      </c>
      <c r="B188" t="s">
        <v>324</v>
      </c>
      <c r="C188" t="s">
        <v>312</v>
      </c>
      <c r="D188" t="s">
        <v>45</v>
      </c>
      <c r="E188" t="s">
        <v>383</v>
      </c>
      <c r="F188" t="s">
        <v>384</v>
      </c>
    </row>
    <row r="189" spans="1:6" x14ac:dyDescent="0.3">
      <c r="A189" t="s">
        <v>19</v>
      </c>
      <c r="B189" t="s">
        <v>324</v>
      </c>
      <c r="C189" t="s">
        <v>312</v>
      </c>
      <c r="D189" t="s">
        <v>45</v>
      </c>
      <c r="E189" t="s">
        <v>383</v>
      </c>
      <c r="F189" t="s">
        <v>385</v>
      </c>
    </row>
    <row r="190" spans="1:6" x14ac:dyDescent="0.3">
      <c r="A190" t="s">
        <v>19</v>
      </c>
      <c r="B190" t="s">
        <v>324</v>
      </c>
      <c r="C190" t="s">
        <v>312</v>
      </c>
      <c r="D190" t="s">
        <v>45</v>
      </c>
      <c r="E190" t="s">
        <v>383</v>
      </c>
      <c r="F190" t="s">
        <v>386</v>
      </c>
    </row>
    <row r="191" spans="1:6" x14ac:dyDescent="0.3">
      <c r="A191" t="s">
        <v>19</v>
      </c>
      <c r="B191" t="s">
        <v>327</v>
      </c>
      <c r="C191" t="s">
        <v>312</v>
      </c>
      <c r="D191" t="s">
        <v>31</v>
      </c>
      <c r="E191" t="s">
        <v>383</v>
      </c>
      <c r="F191" t="s">
        <v>384</v>
      </c>
    </row>
    <row r="192" spans="1:6" x14ac:dyDescent="0.3">
      <c r="A192" t="s">
        <v>19</v>
      </c>
      <c r="B192" t="s">
        <v>327</v>
      </c>
      <c r="C192" t="s">
        <v>312</v>
      </c>
      <c r="D192" t="s">
        <v>31</v>
      </c>
      <c r="E192" t="s">
        <v>383</v>
      </c>
      <c r="F192" t="s">
        <v>385</v>
      </c>
    </row>
    <row r="193" spans="1:6" x14ac:dyDescent="0.3">
      <c r="A193" t="s">
        <v>19</v>
      </c>
      <c r="B193" t="s">
        <v>327</v>
      </c>
      <c r="C193" t="s">
        <v>312</v>
      </c>
      <c r="D193" t="s">
        <v>31</v>
      </c>
      <c r="E193" t="s">
        <v>383</v>
      </c>
      <c r="F193" t="s">
        <v>386</v>
      </c>
    </row>
    <row r="194" spans="1:6" x14ac:dyDescent="0.3">
      <c r="A194" t="s">
        <v>19</v>
      </c>
      <c r="B194" t="s">
        <v>330</v>
      </c>
      <c r="C194" t="s">
        <v>312</v>
      </c>
      <c r="D194" t="s">
        <v>61</v>
      </c>
      <c r="E194" t="s">
        <v>383</v>
      </c>
      <c r="F194" t="s">
        <v>384</v>
      </c>
    </row>
    <row r="195" spans="1:6" x14ac:dyDescent="0.3">
      <c r="A195" t="s">
        <v>19</v>
      </c>
      <c r="B195" t="s">
        <v>330</v>
      </c>
      <c r="C195" t="s">
        <v>312</v>
      </c>
      <c r="D195" t="s">
        <v>61</v>
      </c>
      <c r="E195" t="s">
        <v>383</v>
      </c>
      <c r="F195" t="s">
        <v>385</v>
      </c>
    </row>
    <row r="196" spans="1:6" x14ac:dyDescent="0.3">
      <c r="A196" t="s">
        <v>19</v>
      </c>
      <c r="B196" t="s">
        <v>330</v>
      </c>
      <c r="C196" t="s">
        <v>312</v>
      </c>
      <c r="D196" t="s">
        <v>61</v>
      </c>
      <c r="E196" t="s">
        <v>383</v>
      </c>
      <c r="F196" t="s">
        <v>386</v>
      </c>
    </row>
    <row r="197" spans="1:6" x14ac:dyDescent="0.3">
      <c r="A197" t="s">
        <v>19</v>
      </c>
      <c r="B197" t="s">
        <v>333</v>
      </c>
      <c r="C197" t="s">
        <v>312</v>
      </c>
      <c r="D197" t="s">
        <v>64</v>
      </c>
      <c r="E197" t="s">
        <v>383</v>
      </c>
      <c r="F197" t="s">
        <v>384</v>
      </c>
    </row>
    <row r="198" spans="1:6" x14ac:dyDescent="0.3">
      <c r="A198" t="s">
        <v>19</v>
      </c>
      <c r="B198" t="s">
        <v>333</v>
      </c>
      <c r="C198" t="s">
        <v>312</v>
      </c>
      <c r="D198" t="s">
        <v>64</v>
      </c>
      <c r="E198" t="s">
        <v>383</v>
      </c>
      <c r="F198" t="s">
        <v>385</v>
      </c>
    </row>
    <row r="199" spans="1:6" x14ac:dyDescent="0.3">
      <c r="A199" t="s">
        <v>19</v>
      </c>
      <c r="B199" t="s">
        <v>333</v>
      </c>
      <c r="C199" t="s">
        <v>312</v>
      </c>
      <c r="D199" t="s">
        <v>64</v>
      </c>
      <c r="E199" t="s">
        <v>383</v>
      </c>
      <c r="F199" t="s">
        <v>386</v>
      </c>
    </row>
    <row r="200" spans="1:6" x14ac:dyDescent="0.3">
      <c r="A200" t="s">
        <v>19</v>
      </c>
      <c r="B200" t="s">
        <v>335</v>
      </c>
      <c r="C200" t="s">
        <v>312</v>
      </c>
      <c r="D200" t="s">
        <v>35</v>
      </c>
      <c r="E200" t="s">
        <v>383</v>
      </c>
      <c r="F200" t="s">
        <v>384</v>
      </c>
    </row>
    <row r="201" spans="1:6" x14ac:dyDescent="0.3">
      <c r="A201" t="s">
        <v>19</v>
      </c>
      <c r="B201" t="s">
        <v>335</v>
      </c>
      <c r="C201" t="s">
        <v>312</v>
      </c>
      <c r="D201" t="s">
        <v>35</v>
      </c>
      <c r="E201" t="s">
        <v>383</v>
      </c>
      <c r="F201" t="s">
        <v>385</v>
      </c>
    </row>
    <row r="202" spans="1:6" x14ac:dyDescent="0.3">
      <c r="A202" t="s">
        <v>19</v>
      </c>
      <c r="B202" t="s">
        <v>335</v>
      </c>
      <c r="C202" t="s">
        <v>312</v>
      </c>
      <c r="D202" t="s">
        <v>35</v>
      </c>
      <c r="E202" t="s">
        <v>383</v>
      </c>
      <c r="F202" t="s">
        <v>386</v>
      </c>
    </row>
    <row r="203" spans="1:6" x14ac:dyDescent="0.3">
      <c r="A203" t="s">
        <v>19</v>
      </c>
      <c r="B203" t="s">
        <v>338</v>
      </c>
      <c r="C203" t="s">
        <v>312</v>
      </c>
      <c r="D203" t="s">
        <v>45</v>
      </c>
      <c r="E203" t="s">
        <v>383</v>
      </c>
      <c r="F203" t="s">
        <v>384</v>
      </c>
    </row>
    <row r="204" spans="1:6" x14ac:dyDescent="0.3">
      <c r="A204" t="s">
        <v>19</v>
      </c>
      <c r="B204" t="s">
        <v>338</v>
      </c>
      <c r="C204" t="s">
        <v>312</v>
      </c>
      <c r="D204" t="s">
        <v>45</v>
      </c>
      <c r="E204" t="s">
        <v>383</v>
      </c>
      <c r="F204" t="s">
        <v>385</v>
      </c>
    </row>
    <row r="205" spans="1:6" x14ac:dyDescent="0.3">
      <c r="A205" t="s">
        <v>19</v>
      </c>
      <c r="B205" t="s">
        <v>338</v>
      </c>
      <c r="C205" t="s">
        <v>312</v>
      </c>
      <c r="D205" t="s">
        <v>45</v>
      </c>
      <c r="E205" t="s">
        <v>383</v>
      </c>
      <c r="F205" t="s">
        <v>386</v>
      </c>
    </row>
    <row r="206" spans="1:6" x14ac:dyDescent="0.3">
      <c r="A206" t="s">
        <v>19</v>
      </c>
      <c r="B206" t="s">
        <v>342</v>
      </c>
      <c r="C206" t="s">
        <v>312</v>
      </c>
      <c r="D206" t="s">
        <v>31</v>
      </c>
      <c r="E206" t="s">
        <v>383</v>
      </c>
      <c r="F206" t="s">
        <v>384</v>
      </c>
    </row>
    <row r="207" spans="1:6" x14ac:dyDescent="0.3">
      <c r="A207" t="s">
        <v>19</v>
      </c>
      <c r="B207" t="s">
        <v>342</v>
      </c>
      <c r="C207" t="s">
        <v>312</v>
      </c>
      <c r="D207" t="s">
        <v>31</v>
      </c>
      <c r="E207" t="s">
        <v>383</v>
      </c>
      <c r="F207" t="s">
        <v>385</v>
      </c>
    </row>
    <row r="208" spans="1:6" x14ac:dyDescent="0.3">
      <c r="A208" t="s">
        <v>19</v>
      </c>
      <c r="B208" t="s">
        <v>342</v>
      </c>
      <c r="C208" t="s">
        <v>312</v>
      </c>
      <c r="D208" t="s">
        <v>31</v>
      </c>
      <c r="E208" t="s">
        <v>383</v>
      </c>
      <c r="F208" t="s">
        <v>386</v>
      </c>
    </row>
    <row r="209" spans="1:6" x14ac:dyDescent="0.3">
      <c r="A209" t="s">
        <v>19</v>
      </c>
      <c r="B209" t="s">
        <v>345</v>
      </c>
      <c r="C209" t="s">
        <v>312</v>
      </c>
      <c r="D209" t="s">
        <v>61</v>
      </c>
      <c r="E209" t="s">
        <v>383</v>
      </c>
      <c r="F209" t="s">
        <v>384</v>
      </c>
    </row>
    <row r="210" spans="1:6" x14ac:dyDescent="0.3">
      <c r="A210" t="s">
        <v>19</v>
      </c>
      <c r="B210" t="s">
        <v>345</v>
      </c>
      <c r="C210" t="s">
        <v>312</v>
      </c>
      <c r="D210" t="s">
        <v>61</v>
      </c>
      <c r="E210" t="s">
        <v>383</v>
      </c>
      <c r="F210" t="s">
        <v>385</v>
      </c>
    </row>
    <row r="211" spans="1:6" x14ac:dyDescent="0.3">
      <c r="A211" t="s">
        <v>19</v>
      </c>
      <c r="B211" t="s">
        <v>345</v>
      </c>
      <c r="C211" t="s">
        <v>312</v>
      </c>
      <c r="D211" t="s">
        <v>61</v>
      </c>
      <c r="E211" t="s">
        <v>383</v>
      </c>
      <c r="F211" t="s">
        <v>386</v>
      </c>
    </row>
    <row r="212" spans="1:6" x14ac:dyDescent="0.3">
      <c r="A212" t="s">
        <v>19</v>
      </c>
      <c r="B212" t="s">
        <v>348</v>
      </c>
      <c r="C212" t="s">
        <v>312</v>
      </c>
      <c r="D212" t="s">
        <v>64</v>
      </c>
      <c r="E212" t="s">
        <v>383</v>
      </c>
      <c r="F212" t="s">
        <v>384</v>
      </c>
    </row>
    <row r="213" spans="1:6" x14ac:dyDescent="0.3">
      <c r="A213" t="s">
        <v>19</v>
      </c>
      <c r="B213" t="s">
        <v>348</v>
      </c>
      <c r="C213" t="s">
        <v>312</v>
      </c>
      <c r="D213" t="s">
        <v>64</v>
      </c>
      <c r="E213" t="s">
        <v>383</v>
      </c>
      <c r="F213" t="s">
        <v>385</v>
      </c>
    </row>
    <row r="214" spans="1:6" x14ac:dyDescent="0.3">
      <c r="A214" t="s">
        <v>19</v>
      </c>
      <c r="B214" t="s">
        <v>348</v>
      </c>
      <c r="C214" t="s">
        <v>312</v>
      </c>
      <c r="D214" t="s">
        <v>64</v>
      </c>
      <c r="E214" t="s">
        <v>383</v>
      </c>
      <c r="F214" t="s">
        <v>386</v>
      </c>
    </row>
    <row r="215" spans="1:6" x14ac:dyDescent="0.3">
      <c r="A215" t="s">
        <v>19</v>
      </c>
      <c r="B215" t="s">
        <v>350</v>
      </c>
      <c r="C215" t="s">
        <v>312</v>
      </c>
      <c r="D215" t="s">
        <v>35</v>
      </c>
      <c r="E215" t="s">
        <v>383</v>
      </c>
      <c r="F215" t="s">
        <v>384</v>
      </c>
    </row>
    <row r="216" spans="1:6" x14ac:dyDescent="0.3">
      <c r="A216" t="s">
        <v>19</v>
      </c>
      <c r="B216" t="s">
        <v>350</v>
      </c>
      <c r="C216" t="s">
        <v>312</v>
      </c>
      <c r="D216" t="s">
        <v>35</v>
      </c>
      <c r="E216" t="s">
        <v>383</v>
      </c>
      <c r="F216" t="s">
        <v>385</v>
      </c>
    </row>
    <row r="217" spans="1:6" x14ac:dyDescent="0.3">
      <c r="A217" t="s">
        <v>19</v>
      </c>
      <c r="B217" t="s">
        <v>350</v>
      </c>
      <c r="C217" t="s">
        <v>312</v>
      </c>
      <c r="D217" t="s">
        <v>35</v>
      </c>
      <c r="E217" t="s">
        <v>383</v>
      </c>
      <c r="F217" t="s">
        <v>386</v>
      </c>
    </row>
    <row r="218" spans="1:6" x14ac:dyDescent="0.3">
      <c r="A218" t="s">
        <v>19</v>
      </c>
      <c r="B218" t="s">
        <v>353</v>
      </c>
      <c r="C218" t="s">
        <v>312</v>
      </c>
      <c r="D218" t="s">
        <v>45</v>
      </c>
      <c r="E218" t="s">
        <v>383</v>
      </c>
      <c r="F218" t="s">
        <v>384</v>
      </c>
    </row>
    <row r="219" spans="1:6" x14ac:dyDescent="0.3">
      <c r="A219" t="s">
        <v>19</v>
      </c>
      <c r="B219" t="s">
        <v>353</v>
      </c>
      <c r="C219" t="s">
        <v>312</v>
      </c>
      <c r="D219" t="s">
        <v>45</v>
      </c>
      <c r="E219" t="s">
        <v>383</v>
      </c>
      <c r="F219" t="s">
        <v>385</v>
      </c>
    </row>
    <row r="220" spans="1:6" x14ac:dyDescent="0.3">
      <c r="A220" t="s">
        <v>19</v>
      </c>
      <c r="B220" t="s">
        <v>353</v>
      </c>
      <c r="C220" t="s">
        <v>312</v>
      </c>
      <c r="D220" t="s">
        <v>45</v>
      </c>
      <c r="E220" t="s">
        <v>383</v>
      </c>
      <c r="F220" t="s">
        <v>386</v>
      </c>
    </row>
    <row r="221" spans="1:6" x14ac:dyDescent="0.3">
      <c r="A221" t="s">
        <v>19</v>
      </c>
      <c r="B221" t="s">
        <v>356</v>
      </c>
      <c r="C221" t="s">
        <v>312</v>
      </c>
      <c r="D221" t="s">
        <v>31</v>
      </c>
      <c r="E221" t="s">
        <v>383</v>
      </c>
      <c r="F221" t="s">
        <v>384</v>
      </c>
    </row>
    <row r="222" spans="1:6" x14ac:dyDescent="0.3">
      <c r="A222" t="s">
        <v>19</v>
      </c>
      <c r="B222" t="s">
        <v>356</v>
      </c>
      <c r="C222" t="s">
        <v>312</v>
      </c>
      <c r="D222" t="s">
        <v>31</v>
      </c>
      <c r="E222" t="s">
        <v>383</v>
      </c>
      <c r="F222" t="s">
        <v>385</v>
      </c>
    </row>
    <row r="223" spans="1:6" x14ac:dyDescent="0.3">
      <c r="A223" t="s">
        <v>19</v>
      </c>
      <c r="B223" t="s">
        <v>356</v>
      </c>
      <c r="C223" t="s">
        <v>312</v>
      </c>
      <c r="D223" t="s">
        <v>31</v>
      </c>
      <c r="E223" t="s">
        <v>383</v>
      </c>
      <c r="F223" t="s">
        <v>386</v>
      </c>
    </row>
    <row r="224" spans="1:6" x14ac:dyDescent="0.3">
      <c r="A224" t="s">
        <v>19</v>
      </c>
      <c r="B224" t="s">
        <v>359</v>
      </c>
      <c r="C224" t="s">
        <v>312</v>
      </c>
      <c r="D224" t="s">
        <v>61</v>
      </c>
      <c r="E224" t="s">
        <v>383</v>
      </c>
      <c r="F224" t="s">
        <v>384</v>
      </c>
    </row>
    <row r="225" spans="1:9" x14ac:dyDescent="0.3">
      <c r="A225" t="s">
        <v>19</v>
      </c>
      <c r="B225" t="s">
        <v>359</v>
      </c>
      <c r="C225" t="s">
        <v>312</v>
      </c>
      <c r="D225" t="s">
        <v>61</v>
      </c>
      <c r="E225" t="s">
        <v>383</v>
      </c>
      <c r="F225" t="s">
        <v>385</v>
      </c>
    </row>
    <row r="226" spans="1:9" x14ac:dyDescent="0.3">
      <c r="A226" t="s">
        <v>19</v>
      </c>
      <c r="B226" t="s">
        <v>359</v>
      </c>
      <c r="C226" t="s">
        <v>312</v>
      </c>
      <c r="D226" t="s">
        <v>61</v>
      </c>
      <c r="E226" t="s">
        <v>383</v>
      </c>
      <c r="F226" t="s">
        <v>386</v>
      </c>
    </row>
    <row r="227" spans="1:9" x14ac:dyDescent="0.3">
      <c r="A227" t="s">
        <v>19</v>
      </c>
      <c r="B227" t="s">
        <v>362</v>
      </c>
      <c r="C227" t="s">
        <v>312</v>
      </c>
      <c r="D227" t="s">
        <v>64</v>
      </c>
      <c r="E227" t="s">
        <v>383</v>
      </c>
      <c r="F227" t="s">
        <v>384</v>
      </c>
    </row>
    <row r="228" spans="1:9" x14ac:dyDescent="0.3">
      <c r="A228" t="s">
        <v>19</v>
      </c>
      <c r="B228" t="s">
        <v>362</v>
      </c>
      <c r="C228" t="s">
        <v>312</v>
      </c>
      <c r="D228" t="s">
        <v>64</v>
      </c>
      <c r="E228" t="s">
        <v>383</v>
      </c>
      <c r="F228" t="s">
        <v>385</v>
      </c>
    </row>
    <row r="229" spans="1:9" x14ac:dyDescent="0.3">
      <c r="A229" t="s">
        <v>19</v>
      </c>
      <c r="B229" t="s">
        <v>362</v>
      </c>
      <c r="C229" t="s">
        <v>312</v>
      </c>
      <c r="D229" t="s">
        <v>64</v>
      </c>
      <c r="E229" t="s">
        <v>383</v>
      </c>
      <c r="F229" t="s">
        <v>386</v>
      </c>
    </row>
    <row r="230" spans="1:9" x14ac:dyDescent="0.3">
      <c r="A230" t="s">
        <v>19</v>
      </c>
      <c r="B230" t="s">
        <v>364</v>
      </c>
      <c r="C230" t="s">
        <v>312</v>
      </c>
      <c r="D230" t="s">
        <v>35</v>
      </c>
      <c r="E230" t="s">
        <v>383</v>
      </c>
      <c r="F230" t="s">
        <v>384</v>
      </c>
    </row>
    <row r="231" spans="1:9" x14ac:dyDescent="0.3">
      <c r="A231" t="s">
        <v>19</v>
      </c>
      <c r="B231" t="s">
        <v>364</v>
      </c>
      <c r="C231" t="s">
        <v>312</v>
      </c>
      <c r="D231" t="s">
        <v>35</v>
      </c>
      <c r="E231" t="s">
        <v>383</v>
      </c>
      <c r="F231" t="s">
        <v>385</v>
      </c>
    </row>
    <row r="232" spans="1:9" x14ac:dyDescent="0.3">
      <c r="A232" t="s">
        <v>19</v>
      </c>
      <c r="B232" t="s">
        <v>364</v>
      </c>
      <c r="C232" t="s">
        <v>312</v>
      </c>
      <c r="D232" t="s">
        <v>35</v>
      </c>
      <c r="E232" t="s">
        <v>383</v>
      </c>
      <c r="F232" t="s">
        <v>386</v>
      </c>
    </row>
    <row r="233" spans="1:9" x14ac:dyDescent="0.3">
      <c r="A233" t="s">
        <v>19</v>
      </c>
      <c r="B233" t="s">
        <v>20</v>
      </c>
      <c r="C233" t="s">
        <v>24</v>
      </c>
      <c r="D233" t="s">
        <v>25</v>
      </c>
      <c r="E233" t="s">
        <v>387</v>
      </c>
      <c r="F233" t="s">
        <v>384</v>
      </c>
      <c r="G233">
        <v>786540.83</v>
      </c>
    </row>
    <row r="234" spans="1:9" x14ac:dyDescent="0.3">
      <c r="A234" t="s">
        <v>19</v>
      </c>
      <c r="B234" t="s">
        <v>20</v>
      </c>
      <c r="C234" t="s">
        <v>24</v>
      </c>
      <c r="D234" t="s">
        <v>25</v>
      </c>
      <c r="E234" t="s">
        <v>387</v>
      </c>
      <c r="F234" t="s">
        <v>385</v>
      </c>
    </row>
    <row r="235" spans="1:9" x14ac:dyDescent="0.3">
      <c r="A235" t="s">
        <v>19</v>
      </c>
      <c r="B235" t="s">
        <v>20</v>
      </c>
      <c r="C235" t="s">
        <v>24</v>
      </c>
      <c r="D235" t="s">
        <v>25</v>
      </c>
      <c r="E235" t="s">
        <v>387</v>
      </c>
      <c r="F235" t="s">
        <v>386</v>
      </c>
      <c r="G235">
        <v>786540.83</v>
      </c>
    </row>
    <row r="236" spans="1:9" x14ac:dyDescent="0.3">
      <c r="A236" t="s">
        <v>19</v>
      </c>
      <c r="B236" t="s">
        <v>29</v>
      </c>
      <c r="C236" t="s">
        <v>24</v>
      </c>
      <c r="D236" t="s">
        <v>31</v>
      </c>
      <c r="E236" t="s">
        <v>387</v>
      </c>
      <c r="F236" t="s">
        <v>384</v>
      </c>
      <c r="G236">
        <v>674177.85</v>
      </c>
      <c r="H236">
        <v>112362.98</v>
      </c>
    </row>
    <row r="237" spans="1:9" x14ac:dyDescent="0.3">
      <c r="A237" t="s">
        <v>19</v>
      </c>
      <c r="B237" t="s">
        <v>29</v>
      </c>
      <c r="C237" t="s">
        <v>24</v>
      </c>
      <c r="D237" t="s">
        <v>31</v>
      </c>
      <c r="E237" t="s">
        <v>387</v>
      </c>
      <c r="F237" t="s">
        <v>385</v>
      </c>
    </row>
    <row r="238" spans="1:9" x14ac:dyDescent="0.3">
      <c r="A238" t="s">
        <v>19</v>
      </c>
      <c r="B238" t="s">
        <v>29</v>
      </c>
      <c r="C238" t="s">
        <v>24</v>
      </c>
      <c r="D238" t="s">
        <v>31</v>
      </c>
      <c r="E238" t="s">
        <v>387</v>
      </c>
      <c r="F238" t="s">
        <v>386</v>
      </c>
      <c r="G238">
        <v>674177.85</v>
      </c>
      <c r="H238">
        <v>112362.98</v>
      </c>
    </row>
    <row r="239" spans="1:9" x14ac:dyDescent="0.3">
      <c r="A239" t="s">
        <v>19</v>
      </c>
      <c r="B239" t="s">
        <v>33</v>
      </c>
      <c r="C239" t="s">
        <v>24</v>
      </c>
      <c r="D239" t="s">
        <v>35</v>
      </c>
      <c r="E239" t="s">
        <v>387</v>
      </c>
      <c r="F239" t="s">
        <v>384</v>
      </c>
      <c r="H239">
        <v>471924.5</v>
      </c>
      <c r="I239">
        <v>314616.33</v>
      </c>
    </row>
    <row r="240" spans="1:9" x14ac:dyDescent="0.3">
      <c r="A240" t="s">
        <v>19</v>
      </c>
      <c r="B240" t="s">
        <v>33</v>
      </c>
      <c r="C240" t="s">
        <v>24</v>
      </c>
      <c r="D240" t="s">
        <v>35</v>
      </c>
      <c r="E240" t="s">
        <v>387</v>
      </c>
      <c r="F240" t="s">
        <v>385</v>
      </c>
    </row>
    <row r="241" spans="1:10" x14ac:dyDescent="0.3">
      <c r="A241" t="s">
        <v>19</v>
      </c>
      <c r="B241" t="s">
        <v>33</v>
      </c>
      <c r="C241" t="s">
        <v>24</v>
      </c>
      <c r="D241" t="s">
        <v>35</v>
      </c>
      <c r="E241" t="s">
        <v>387</v>
      </c>
      <c r="F241" t="s">
        <v>386</v>
      </c>
      <c r="H241">
        <v>471924.5</v>
      </c>
      <c r="I241">
        <v>314616.33</v>
      </c>
    </row>
    <row r="242" spans="1:10" x14ac:dyDescent="0.3">
      <c r="A242" t="s">
        <v>19</v>
      </c>
      <c r="B242" t="s">
        <v>37</v>
      </c>
      <c r="C242" t="s">
        <v>24</v>
      </c>
      <c r="D242" t="s">
        <v>40</v>
      </c>
      <c r="E242" t="s">
        <v>387</v>
      </c>
      <c r="F242" t="s">
        <v>384</v>
      </c>
      <c r="G242">
        <v>786540.83</v>
      </c>
    </row>
    <row r="243" spans="1:10" x14ac:dyDescent="0.3">
      <c r="A243" t="s">
        <v>19</v>
      </c>
      <c r="B243" t="s">
        <v>37</v>
      </c>
      <c r="C243" t="s">
        <v>24</v>
      </c>
      <c r="D243" t="s">
        <v>40</v>
      </c>
      <c r="E243" t="s">
        <v>387</v>
      </c>
      <c r="F243" t="s">
        <v>385</v>
      </c>
    </row>
    <row r="244" spans="1:10" x14ac:dyDescent="0.3">
      <c r="A244" t="s">
        <v>19</v>
      </c>
      <c r="B244" t="s">
        <v>37</v>
      </c>
      <c r="C244" t="s">
        <v>24</v>
      </c>
      <c r="D244" t="s">
        <v>40</v>
      </c>
      <c r="E244" t="s">
        <v>387</v>
      </c>
      <c r="F244" t="s">
        <v>386</v>
      </c>
      <c r="G244">
        <v>786540.83</v>
      </c>
    </row>
    <row r="245" spans="1:10" x14ac:dyDescent="0.3">
      <c r="A245" t="s">
        <v>19</v>
      </c>
      <c r="B245" t="s">
        <v>42</v>
      </c>
      <c r="C245" t="s">
        <v>24</v>
      </c>
      <c r="D245" t="s">
        <v>45</v>
      </c>
      <c r="E245" t="s">
        <v>387</v>
      </c>
      <c r="F245" t="s">
        <v>384</v>
      </c>
      <c r="G245">
        <v>674177.85</v>
      </c>
      <c r="H245">
        <v>112362.98</v>
      </c>
    </row>
    <row r="246" spans="1:10" x14ac:dyDescent="0.3">
      <c r="A246" t="s">
        <v>19</v>
      </c>
      <c r="B246" t="s">
        <v>42</v>
      </c>
      <c r="C246" t="s">
        <v>24</v>
      </c>
      <c r="D246" t="s">
        <v>45</v>
      </c>
      <c r="E246" t="s">
        <v>387</v>
      </c>
      <c r="F246" t="s">
        <v>385</v>
      </c>
    </row>
    <row r="247" spans="1:10" x14ac:dyDescent="0.3">
      <c r="A247" t="s">
        <v>19</v>
      </c>
      <c r="B247" t="s">
        <v>42</v>
      </c>
      <c r="C247" t="s">
        <v>24</v>
      </c>
      <c r="D247" t="s">
        <v>45</v>
      </c>
      <c r="E247" t="s">
        <v>387</v>
      </c>
      <c r="F247" t="s">
        <v>386</v>
      </c>
      <c r="G247">
        <v>674177.85</v>
      </c>
      <c r="H247">
        <v>112362.98</v>
      </c>
    </row>
    <row r="248" spans="1:10" x14ac:dyDescent="0.3">
      <c r="A248" t="s">
        <v>19</v>
      </c>
      <c r="B248" t="s">
        <v>46</v>
      </c>
      <c r="C248" t="s">
        <v>24</v>
      </c>
      <c r="D248" t="s">
        <v>31</v>
      </c>
      <c r="E248" t="s">
        <v>387</v>
      </c>
      <c r="F248" t="s">
        <v>384</v>
      </c>
      <c r="H248">
        <v>589905.62</v>
      </c>
      <c r="I248">
        <v>196635.21</v>
      </c>
    </row>
    <row r="249" spans="1:10" x14ac:dyDescent="0.3">
      <c r="A249" t="s">
        <v>19</v>
      </c>
      <c r="B249" t="s">
        <v>46</v>
      </c>
      <c r="C249" t="s">
        <v>24</v>
      </c>
      <c r="D249" t="s">
        <v>31</v>
      </c>
      <c r="E249" t="s">
        <v>387</v>
      </c>
      <c r="F249" t="s">
        <v>385</v>
      </c>
    </row>
    <row r="250" spans="1:10" x14ac:dyDescent="0.3">
      <c r="A250" t="s">
        <v>19</v>
      </c>
      <c r="B250" t="s">
        <v>46</v>
      </c>
      <c r="C250" t="s">
        <v>24</v>
      </c>
      <c r="D250" t="s">
        <v>31</v>
      </c>
      <c r="E250" t="s">
        <v>387</v>
      </c>
      <c r="F250" t="s">
        <v>386</v>
      </c>
      <c r="H250">
        <v>589905.62</v>
      </c>
      <c r="I250">
        <v>196635.21</v>
      </c>
    </row>
    <row r="251" spans="1:10" x14ac:dyDescent="0.3">
      <c r="A251" t="s">
        <v>19</v>
      </c>
      <c r="B251" t="s">
        <v>50</v>
      </c>
      <c r="C251" t="s">
        <v>24</v>
      </c>
      <c r="D251" t="s">
        <v>40</v>
      </c>
      <c r="E251" t="s">
        <v>387</v>
      </c>
      <c r="F251" t="s">
        <v>384</v>
      </c>
      <c r="G251">
        <v>131090.14000000001</v>
      </c>
      <c r="H251">
        <v>655450.68999999994</v>
      </c>
    </row>
    <row r="252" spans="1:10" x14ac:dyDescent="0.3">
      <c r="A252" t="s">
        <v>19</v>
      </c>
      <c r="B252" t="s">
        <v>50</v>
      </c>
      <c r="C252" t="s">
        <v>24</v>
      </c>
      <c r="D252" t="s">
        <v>40</v>
      </c>
      <c r="E252" t="s">
        <v>387</v>
      </c>
      <c r="F252" t="s">
        <v>385</v>
      </c>
    </row>
    <row r="253" spans="1:10" x14ac:dyDescent="0.3">
      <c r="A253" t="s">
        <v>19</v>
      </c>
      <c r="B253" t="s">
        <v>50</v>
      </c>
      <c r="C253" t="s">
        <v>24</v>
      </c>
      <c r="D253" t="s">
        <v>40</v>
      </c>
      <c r="E253" t="s">
        <v>387</v>
      </c>
      <c r="F253" t="s">
        <v>386</v>
      </c>
      <c r="G253">
        <v>131090.14000000001</v>
      </c>
      <c r="H253">
        <v>655450.68999999994</v>
      </c>
    </row>
    <row r="254" spans="1:10" x14ac:dyDescent="0.3">
      <c r="A254" t="s">
        <v>19</v>
      </c>
      <c r="B254" t="s">
        <v>53</v>
      </c>
      <c r="C254" t="s">
        <v>24</v>
      </c>
      <c r="D254" t="s">
        <v>40</v>
      </c>
      <c r="E254" t="s">
        <v>387</v>
      </c>
      <c r="F254" t="s">
        <v>384</v>
      </c>
      <c r="I254">
        <v>561814.88</v>
      </c>
      <c r="J254">
        <v>224725.95</v>
      </c>
    </row>
    <row r="255" spans="1:10" x14ac:dyDescent="0.3">
      <c r="A255" t="s">
        <v>19</v>
      </c>
      <c r="B255" t="s">
        <v>53</v>
      </c>
      <c r="C255" t="s">
        <v>24</v>
      </c>
      <c r="D255" t="s">
        <v>40</v>
      </c>
      <c r="E255" t="s">
        <v>387</v>
      </c>
      <c r="F255" t="s">
        <v>385</v>
      </c>
    </row>
    <row r="256" spans="1:10" x14ac:dyDescent="0.3">
      <c r="A256" t="s">
        <v>19</v>
      </c>
      <c r="B256" t="s">
        <v>53</v>
      </c>
      <c r="C256" t="s">
        <v>24</v>
      </c>
      <c r="D256" t="s">
        <v>40</v>
      </c>
      <c r="E256" t="s">
        <v>387</v>
      </c>
      <c r="F256" t="s">
        <v>386</v>
      </c>
      <c r="I256">
        <v>561814.88</v>
      </c>
      <c r="J256">
        <v>224725.95</v>
      </c>
    </row>
    <row r="257" spans="1:11" x14ac:dyDescent="0.3">
      <c r="A257" t="s">
        <v>19</v>
      </c>
      <c r="B257" t="s">
        <v>55</v>
      </c>
      <c r="C257" t="s">
        <v>24</v>
      </c>
      <c r="D257" t="s">
        <v>40</v>
      </c>
      <c r="E257" t="s">
        <v>387</v>
      </c>
      <c r="F257" t="s">
        <v>384</v>
      </c>
      <c r="J257">
        <v>327725.34999999998</v>
      </c>
      <c r="K257">
        <v>458815.48</v>
      </c>
    </row>
    <row r="258" spans="1:11" x14ac:dyDescent="0.3">
      <c r="A258" t="s">
        <v>19</v>
      </c>
      <c r="B258" t="s">
        <v>55</v>
      </c>
      <c r="C258" t="s">
        <v>24</v>
      </c>
      <c r="D258" t="s">
        <v>40</v>
      </c>
      <c r="E258" t="s">
        <v>387</v>
      </c>
      <c r="F258" t="s">
        <v>385</v>
      </c>
    </row>
    <row r="259" spans="1:11" x14ac:dyDescent="0.3">
      <c r="A259" t="s">
        <v>19</v>
      </c>
      <c r="B259" t="s">
        <v>55</v>
      </c>
      <c r="C259" t="s">
        <v>24</v>
      </c>
      <c r="D259" t="s">
        <v>40</v>
      </c>
      <c r="E259" t="s">
        <v>387</v>
      </c>
      <c r="F259" t="s">
        <v>386</v>
      </c>
      <c r="J259">
        <v>327725.34999999998</v>
      </c>
      <c r="K259">
        <v>458815.48</v>
      </c>
    </row>
    <row r="260" spans="1:11" x14ac:dyDescent="0.3">
      <c r="A260" t="s">
        <v>19</v>
      </c>
      <c r="B260" t="s">
        <v>58</v>
      </c>
      <c r="C260" t="s">
        <v>24</v>
      </c>
      <c r="D260" t="s">
        <v>61</v>
      </c>
      <c r="E260" t="s">
        <v>387</v>
      </c>
      <c r="F260" t="s">
        <v>384</v>
      </c>
      <c r="H260">
        <v>314616.33</v>
      </c>
      <c r="I260">
        <v>471924.5</v>
      </c>
    </row>
    <row r="261" spans="1:11" x14ac:dyDescent="0.3">
      <c r="A261" t="s">
        <v>19</v>
      </c>
      <c r="B261" t="s">
        <v>58</v>
      </c>
      <c r="C261" t="s">
        <v>24</v>
      </c>
      <c r="D261" t="s">
        <v>61</v>
      </c>
      <c r="E261" t="s">
        <v>387</v>
      </c>
      <c r="F261" t="s">
        <v>385</v>
      </c>
    </row>
    <row r="262" spans="1:11" x14ac:dyDescent="0.3">
      <c r="A262" t="s">
        <v>19</v>
      </c>
      <c r="B262" t="s">
        <v>58</v>
      </c>
      <c r="C262" t="s">
        <v>24</v>
      </c>
      <c r="D262" t="s">
        <v>61</v>
      </c>
      <c r="E262" t="s">
        <v>387</v>
      </c>
      <c r="F262" t="s">
        <v>386</v>
      </c>
      <c r="H262">
        <v>314616.33</v>
      </c>
      <c r="I262">
        <v>471924.5</v>
      </c>
    </row>
    <row r="263" spans="1:11" x14ac:dyDescent="0.3">
      <c r="A263" t="s">
        <v>19</v>
      </c>
      <c r="B263" t="s">
        <v>62</v>
      </c>
      <c r="C263" t="s">
        <v>24</v>
      </c>
      <c r="D263" t="s">
        <v>64</v>
      </c>
      <c r="E263" t="s">
        <v>387</v>
      </c>
      <c r="F263" t="s">
        <v>384</v>
      </c>
      <c r="H263">
        <v>314616.33</v>
      </c>
      <c r="I263">
        <v>471924.5</v>
      </c>
    </row>
    <row r="264" spans="1:11" x14ac:dyDescent="0.3">
      <c r="A264" t="s">
        <v>19</v>
      </c>
      <c r="B264" t="s">
        <v>62</v>
      </c>
      <c r="C264" t="s">
        <v>24</v>
      </c>
      <c r="D264" t="s">
        <v>64</v>
      </c>
      <c r="E264" t="s">
        <v>387</v>
      </c>
      <c r="F264" t="s">
        <v>385</v>
      </c>
    </row>
    <row r="265" spans="1:11" x14ac:dyDescent="0.3">
      <c r="A265" t="s">
        <v>19</v>
      </c>
      <c r="B265" t="s">
        <v>62</v>
      </c>
      <c r="C265" t="s">
        <v>24</v>
      </c>
      <c r="D265" t="s">
        <v>64</v>
      </c>
      <c r="E265" t="s">
        <v>387</v>
      </c>
      <c r="F265" t="s">
        <v>386</v>
      </c>
      <c r="H265">
        <v>314616.33</v>
      </c>
      <c r="I265">
        <v>471924.5</v>
      </c>
    </row>
    <row r="266" spans="1:11" x14ac:dyDescent="0.3">
      <c r="A266" t="s">
        <v>19</v>
      </c>
      <c r="B266" t="s">
        <v>65</v>
      </c>
      <c r="C266" t="s">
        <v>24</v>
      </c>
      <c r="D266" t="s">
        <v>40</v>
      </c>
      <c r="E266" t="s">
        <v>387</v>
      </c>
      <c r="F266" t="s">
        <v>384</v>
      </c>
      <c r="G266">
        <v>157308.17000000001</v>
      </c>
      <c r="H266">
        <v>629232.66</v>
      </c>
    </row>
    <row r="267" spans="1:11" x14ac:dyDescent="0.3">
      <c r="A267" t="s">
        <v>19</v>
      </c>
      <c r="B267" t="s">
        <v>65</v>
      </c>
      <c r="C267" t="s">
        <v>24</v>
      </c>
      <c r="D267" t="s">
        <v>40</v>
      </c>
      <c r="E267" t="s">
        <v>387</v>
      </c>
      <c r="F267" t="s">
        <v>385</v>
      </c>
    </row>
    <row r="268" spans="1:11" x14ac:dyDescent="0.3">
      <c r="A268" t="s">
        <v>19</v>
      </c>
      <c r="B268" t="s">
        <v>65</v>
      </c>
      <c r="C268" t="s">
        <v>24</v>
      </c>
      <c r="D268" t="s">
        <v>40</v>
      </c>
      <c r="E268" t="s">
        <v>387</v>
      </c>
      <c r="F268" t="s">
        <v>386</v>
      </c>
      <c r="G268">
        <v>157308.17000000001</v>
      </c>
      <c r="H268">
        <v>629232.66</v>
      </c>
    </row>
    <row r="269" spans="1:11" x14ac:dyDescent="0.3">
      <c r="A269" t="s">
        <v>19</v>
      </c>
      <c r="B269" t="s">
        <v>68</v>
      </c>
      <c r="C269" t="s">
        <v>24</v>
      </c>
      <c r="D269" t="s">
        <v>45</v>
      </c>
      <c r="E269" t="s">
        <v>387</v>
      </c>
      <c r="F269" t="s">
        <v>384</v>
      </c>
      <c r="H269">
        <v>674177.85</v>
      </c>
      <c r="I269">
        <v>112362.98</v>
      </c>
    </row>
    <row r="270" spans="1:11" x14ac:dyDescent="0.3">
      <c r="A270" t="s">
        <v>19</v>
      </c>
      <c r="B270" t="s">
        <v>68</v>
      </c>
      <c r="C270" t="s">
        <v>24</v>
      </c>
      <c r="D270" t="s">
        <v>45</v>
      </c>
      <c r="E270" t="s">
        <v>387</v>
      </c>
      <c r="F270" t="s">
        <v>385</v>
      </c>
    </row>
    <row r="271" spans="1:11" x14ac:dyDescent="0.3">
      <c r="A271" t="s">
        <v>19</v>
      </c>
      <c r="B271" t="s">
        <v>68</v>
      </c>
      <c r="C271" t="s">
        <v>24</v>
      </c>
      <c r="D271" t="s">
        <v>45</v>
      </c>
      <c r="E271" t="s">
        <v>387</v>
      </c>
      <c r="F271" t="s">
        <v>386</v>
      </c>
      <c r="H271">
        <v>674177.85</v>
      </c>
      <c r="I271">
        <v>112362.98</v>
      </c>
    </row>
    <row r="272" spans="1:11" x14ac:dyDescent="0.3">
      <c r="A272" t="s">
        <v>19</v>
      </c>
      <c r="B272" t="s">
        <v>71</v>
      </c>
      <c r="C272" t="s">
        <v>24</v>
      </c>
      <c r="D272" t="s">
        <v>31</v>
      </c>
      <c r="E272" t="s">
        <v>387</v>
      </c>
      <c r="F272" t="s">
        <v>384</v>
      </c>
      <c r="I272">
        <v>491588.02</v>
      </c>
      <c r="J272">
        <v>294952.81</v>
      </c>
    </row>
    <row r="273" spans="1:13" x14ac:dyDescent="0.3">
      <c r="A273" t="s">
        <v>19</v>
      </c>
      <c r="B273" t="s">
        <v>71</v>
      </c>
      <c r="C273" t="s">
        <v>24</v>
      </c>
      <c r="D273" t="s">
        <v>31</v>
      </c>
      <c r="E273" t="s">
        <v>387</v>
      </c>
      <c r="F273" t="s">
        <v>385</v>
      </c>
    </row>
    <row r="274" spans="1:13" x14ac:dyDescent="0.3">
      <c r="A274" t="s">
        <v>19</v>
      </c>
      <c r="B274" t="s">
        <v>71</v>
      </c>
      <c r="C274" t="s">
        <v>24</v>
      </c>
      <c r="D274" t="s">
        <v>31</v>
      </c>
      <c r="E274" t="s">
        <v>387</v>
      </c>
      <c r="F274" t="s">
        <v>386</v>
      </c>
      <c r="I274">
        <v>491588.02</v>
      </c>
      <c r="J274">
        <v>294952.81</v>
      </c>
    </row>
    <row r="275" spans="1:13" x14ac:dyDescent="0.3">
      <c r="A275" t="s">
        <v>19</v>
      </c>
      <c r="B275" t="s">
        <v>74</v>
      </c>
      <c r="C275" t="s">
        <v>24</v>
      </c>
      <c r="D275" t="s">
        <v>40</v>
      </c>
      <c r="E275" t="s">
        <v>387</v>
      </c>
      <c r="F275" t="s">
        <v>384</v>
      </c>
      <c r="H275">
        <v>262180.28000000003</v>
      </c>
      <c r="I275">
        <v>524360.55000000005</v>
      </c>
    </row>
    <row r="276" spans="1:13" x14ac:dyDescent="0.3">
      <c r="A276" t="s">
        <v>19</v>
      </c>
      <c r="B276" t="s">
        <v>74</v>
      </c>
      <c r="C276" t="s">
        <v>24</v>
      </c>
      <c r="D276" t="s">
        <v>40</v>
      </c>
      <c r="E276" t="s">
        <v>387</v>
      </c>
      <c r="F276" t="s">
        <v>385</v>
      </c>
    </row>
    <row r="277" spans="1:13" x14ac:dyDescent="0.3">
      <c r="A277" t="s">
        <v>19</v>
      </c>
      <c r="B277" t="s">
        <v>74</v>
      </c>
      <c r="C277" t="s">
        <v>24</v>
      </c>
      <c r="D277" t="s">
        <v>40</v>
      </c>
      <c r="E277" t="s">
        <v>387</v>
      </c>
      <c r="F277" t="s">
        <v>386</v>
      </c>
      <c r="H277">
        <v>262180.28000000003</v>
      </c>
      <c r="I277">
        <v>524360.55000000005</v>
      </c>
    </row>
    <row r="278" spans="1:13" x14ac:dyDescent="0.3">
      <c r="A278" t="s">
        <v>19</v>
      </c>
      <c r="B278" t="s">
        <v>76</v>
      </c>
      <c r="C278" t="s">
        <v>24</v>
      </c>
      <c r="D278" t="s">
        <v>40</v>
      </c>
      <c r="E278" t="s">
        <v>387</v>
      </c>
      <c r="F278" t="s">
        <v>384</v>
      </c>
      <c r="J278">
        <v>449451.9</v>
      </c>
      <c r="K278">
        <v>337088.93</v>
      </c>
    </row>
    <row r="279" spans="1:13" x14ac:dyDescent="0.3">
      <c r="A279" t="s">
        <v>19</v>
      </c>
      <c r="B279" t="s">
        <v>76</v>
      </c>
      <c r="C279" t="s">
        <v>24</v>
      </c>
      <c r="D279" t="s">
        <v>40</v>
      </c>
      <c r="E279" t="s">
        <v>387</v>
      </c>
      <c r="F279" t="s">
        <v>385</v>
      </c>
    </row>
    <row r="280" spans="1:13" x14ac:dyDescent="0.3">
      <c r="A280" t="s">
        <v>19</v>
      </c>
      <c r="B280" t="s">
        <v>76</v>
      </c>
      <c r="C280" t="s">
        <v>24</v>
      </c>
      <c r="D280" t="s">
        <v>40</v>
      </c>
      <c r="E280" t="s">
        <v>387</v>
      </c>
      <c r="F280" t="s">
        <v>386</v>
      </c>
      <c r="J280">
        <v>449451.9</v>
      </c>
      <c r="K280">
        <v>337088.93</v>
      </c>
    </row>
    <row r="281" spans="1:13" x14ac:dyDescent="0.3">
      <c r="A281" t="s">
        <v>19</v>
      </c>
      <c r="B281" t="s">
        <v>78</v>
      </c>
      <c r="C281" t="s">
        <v>24</v>
      </c>
      <c r="D281" t="s">
        <v>40</v>
      </c>
      <c r="E281" t="s">
        <v>387</v>
      </c>
      <c r="F281" t="s">
        <v>384</v>
      </c>
      <c r="K281">
        <v>262180.28000000003</v>
      </c>
      <c r="L281">
        <v>458815.48</v>
      </c>
      <c r="M281">
        <v>65545.070000000007</v>
      </c>
    </row>
    <row r="282" spans="1:13" x14ac:dyDescent="0.3">
      <c r="A282" t="s">
        <v>19</v>
      </c>
      <c r="B282" t="s">
        <v>78</v>
      </c>
      <c r="C282" t="s">
        <v>24</v>
      </c>
      <c r="D282" t="s">
        <v>40</v>
      </c>
      <c r="E282" t="s">
        <v>387</v>
      </c>
      <c r="F282" t="s">
        <v>385</v>
      </c>
    </row>
    <row r="283" spans="1:13" x14ac:dyDescent="0.3">
      <c r="A283" t="s">
        <v>19</v>
      </c>
      <c r="B283" t="s">
        <v>78</v>
      </c>
      <c r="C283" t="s">
        <v>24</v>
      </c>
      <c r="D283" t="s">
        <v>40</v>
      </c>
      <c r="E283" t="s">
        <v>387</v>
      </c>
      <c r="F283" t="s">
        <v>386</v>
      </c>
      <c r="K283">
        <v>262180.28000000003</v>
      </c>
      <c r="L283">
        <v>458815.48</v>
      </c>
      <c r="M283">
        <v>65545.070000000007</v>
      </c>
    </row>
    <row r="284" spans="1:13" x14ac:dyDescent="0.3">
      <c r="A284" t="s">
        <v>19</v>
      </c>
      <c r="B284" t="s">
        <v>80</v>
      </c>
      <c r="C284" t="s">
        <v>24</v>
      </c>
      <c r="D284" t="s">
        <v>61</v>
      </c>
      <c r="E284" t="s">
        <v>387</v>
      </c>
      <c r="F284" t="s">
        <v>384</v>
      </c>
      <c r="I284">
        <v>471924.5</v>
      </c>
      <c r="J284">
        <v>314616.33</v>
      </c>
    </row>
    <row r="285" spans="1:13" x14ac:dyDescent="0.3">
      <c r="A285" t="s">
        <v>19</v>
      </c>
      <c r="B285" t="s">
        <v>80</v>
      </c>
      <c r="C285" t="s">
        <v>24</v>
      </c>
      <c r="D285" t="s">
        <v>61</v>
      </c>
      <c r="E285" t="s">
        <v>387</v>
      </c>
      <c r="F285" t="s">
        <v>385</v>
      </c>
    </row>
    <row r="286" spans="1:13" x14ac:dyDescent="0.3">
      <c r="A286" t="s">
        <v>19</v>
      </c>
      <c r="B286" t="s">
        <v>80</v>
      </c>
      <c r="C286" t="s">
        <v>24</v>
      </c>
      <c r="D286" t="s">
        <v>61</v>
      </c>
      <c r="E286" t="s">
        <v>387</v>
      </c>
      <c r="F286" t="s">
        <v>386</v>
      </c>
      <c r="I286">
        <v>471924.5</v>
      </c>
      <c r="J286">
        <v>314616.33</v>
      </c>
    </row>
    <row r="287" spans="1:13" x14ac:dyDescent="0.3">
      <c r="A287" t="s">
        <v>19</v>
      </c>
      <c r="B287" t="s">
        <v>83</v>
      </c>
      <c r="C287" t="s">
        <v>24</v>
      </c>
      <c r="D287" t="s">
        <v>64</v>
      </c>
      <c r="E287" t="s">
        <v>387</v>
      </c>
      <c r="F287" t="s">
        <v>384</v>
      </c>
      <c r="I287">
        <v>471924.5</v>
      </c>
      <c r="J287">
        <v>314616.33</v>
      </c>
    </row>
    <row r="288" spans="1:13" x14ac:dyDescent="0.3">
      <c r="A288" t="s">
        <v>19</v>
      </c>
      <c r="B288" t="s">
        <v>83</v>
      </c>
      <c r="C288" t="s">
        <v>24</v>
      </c>
      <c r="D288" t="s">
        <v>64</v>
      </c>
      <c r="E288" t="s">
        <v>387</v>
      </c>
      <c r="F288" t="s">
        <v>385</v>
      </c>
    </row>
    <row r="289" spans="1:12" x14ac:dyDescent="0.3">
      <c r="A289" t="s">
        <v>19</v>
      </c>
      <c r="B289" t="s">
        <v>83</v>
      </c>
      <c r="C289" t="s">
        <v>24</v>
      </c>
      <c r="D289" t="s">
        <v>64</v>
      </c>
      <c r="E289" t="s">
        <v>387</v>
      </c>
      <c r="F289" t="s">
        <v>386</v>
      </c>
      <c r="I289">
        <v>471924.5</v>
      </c>
      <c r="J289">
        <v>314616.33</v>
      </c>
    </row>
    <row r="290" spans="1:12" x14ac:dyDescent="0.3">
      <c r="A290" t="s">
        <v>19</v>
      </c>
      <c r="B290" t="s">
        <v>85</v>
      </c>
      <c r="C290" t="s">
        <v>24</v>
      </c>
      <c r="D290" t="s">
        <v>40</v>
      </c>
      <c r="E290" t="s">
        <v>387</v>
      </c>
      <c r="F290" t="s">
        <v>384</v>
      </c>
      <c r="H290">
        <v>471924.5</v>
      </c>
      <c r="I290">
        <v>314616.33</v>
      </c>
    </row>
    <row r="291" spans="1:12" x14ac:dyDescent="0.3">
      <c r="A291" t="s">
        <v>19</v>
      </c>
      <c r="B291" t="s">
        <v>85</v>
      </c>
      <c r="C291" t="s">
        <v>24</v>
      </c>
      <c r="D291" t="s">
        <v>40</v>
      </c>
      <c r="E291" t="s">
        <v>387</v>
      </c>
      <c r="F291" t="s">
        <v>385</v>
      </c>
    </row>
    <row r="292" spans="1:12" x14ac:dyDescent="0.3">
      <c r="A292" t="s">
        <v>19</v>
      </c>
      <c r="B292" t="s">
        <v>85</v>
      </c>
      <c r="C292" t="s">
        <v>24</v>
      </c>
      <c r="D292" t="s">
        <v>40</v>
      </c>
      <c r="E292" t="s">
        <v>387</v>
      </c>
      <c r="F292" t="s">
        <v>386</v>
      </c>
      <c r="H292">
        <v>471924.5</v>
      </c>
      <c r="I292">
        <v>314616.33</v>
      </c>
    </row>
    <row r="293" spans="1:12" x14ac:dyDescent="0.3">
      <c r="A293" t="s">
        <v>19</v>
      </c>
      <c r="B293" t="s">
        <v>88</v>
      </c>
      <c r="C293" t="s">
        <v>24</v>
      </c>
      <c r="D293" t="s">
        <v>45</v>
      </c>
      <c r="E293" t="s">
        <v>387</v>
      </c>
      <c r="F293" t="s">
        <v>384</v>
      </c>
      <c r="I293">
        <v>674177.85</v>
      </c>
      <c r="J293">
        <v>112362.98</v>
      </c>
    </row>
    <row r="294" spans="1:12" x14ac:dyDescent="0.3">
      <c r="A294" t="s">
        <v>19</v>
      </c>
      <c r="B294" t="s">
        <v>88</v>
      </c>
      <c r="C294" t="s">
        <v>24</v>
      </c>
      <c r="D294" t="s">
        <v>45</v>
      </c>
      <c r="E294" t="s">
        <v>387</v>
      </c>
      <c r="F294" t="s">
        <v>385</v>
      </c>
    </row>
    <row r="295" spans="1:12" x14ac:dyDescent="0.3">
      <c r="A295" t="s">
        <v>19</v>
      </c>
      <c r="B295" t="s">
        <v>88</v>
      </c>
      <c r="C295" t="s">
        <v>24</v>
      </c>
      <c r="D295" t="s">
        <v>45</v>
      </c>
      <c r="E295" t="s">
        <v>387</v>
      </c>
      <c r="F295" t="s">
        <v>386</v>
      </c>
      <c r="I295">
        <v>674177.85</v>
      </c>
      <c r="J295">
        <v>112362.98</v>
      </c>
    </row>
    <row r="296" spans="1:12" x14ac:dyDescent="0.3">
      <c r="A296" t="s">
        <v>19</v>
      </c>
      <c r="B296" t="s">
        <v>91</v>
      </c>
      <c r="C296" t="s">
        <v>24</v>
      </c>
      <c r="D296" t="s">
        <v>31</v>
      </c>
      <c r="E296" t="s">
        <v>387</v>
      </c>
      <c r="F296" t="s">
        <v>384</v>
      </c>
      <c r="J296">
        <v>393270.42</v>
      </c>
      <c r="K296">
        <v>393270.42</v>
      </c>
    </row>
    <row r="297" spans="1:12" x14ac:dyDescent="0.3">
      <c r="A297" t="s">
        <v>19</v>
      </c>
      <c r="B297" t="s">
        <v>91</v>
      </c>
      <c r="C297" t="s">
        <v>24</v>
      </c>
      <c r="D297" t="s">
        <v>31</v>
      </c>
      <c r="E297" t="s">
        <v>387</v>
      </c>
      <c r="F297" t="s">
        <v>385</v>
      </c>
    </row>
    <row r="298" spans="1:12" x14ac:dyDescent="0.3">
      <c r="A298" t="s">
        <v>19</v>
      </c>
      <c r="B298" t="s">
        <v>91</v>
      </c>
      <c r="C298" t="s">
        <v>24</v>
      </c>
      <c r="D298" t="s">
        <v>31</v>
      </c>
      <c r="E298" t="s">
        <v>387</v>
      </c>
      <c r="F298" t="s">
        <v>386</v>
      </c>
      <c r="J298">
        <v>393270.42</v>
      </c>
      <c r="K298">
        <v>393270.42</v>
      </c>
    </row>
    <row r="299" spans="1:12" x14ac:dyDescent="0.3">
      <c r="A299" t="s">
        <v>19</v>
      </c>
      <c r="B299" t="s">
        <v>94</v>
      </c>
      <c r="C299" t="s">
        <v>24</v>
      </c>
      <c r="D299" t="s">
        <v>40</v>
      </c>
      <c r="E299" t="s">
        <v>387</v>
      </c>
      <c r="F299" t="s">
        <v>384</v>
      </c>
      <c r="I299">
        <v>393270.42</v>
      </c>
      <c r="J299">
        <v>393270.42</v>
      </c>
    </row>
    <row r="300" spans="1:12" x14ac:dyDescent="0.3">
      <c r="A300" t="s">
        <v>19</v>
      </c>
      <c r="B300" t="s">
        <v>94</v>
      </c>
      <c r="C300" t="s">
        <v>24</v>
      </c>
      <c r="D300" t="s">
        <v>40</v>
      </c>
      <c r="E300" t="s">
        <v>387</v>
      </c>
      <c r="F300" t="s">
        <v>385</v>
      </c>
    </row>
    <row r="301" spans="1:12" x14ac:dyDescent="0.3">
      <c r="A301" t="s">
        <v>19</v>
      </c>
      <c r="B301" t="s">
        <v>94</v>
      </c>
      <c r="C301" t="s">
        <v>24</v>
      </c>
      <c r="D301" t="s">
        <v>40</v>
      </c>
      <c r="E301" t="s">
        <v>387</v>
      </c>
      <c r="F301" t="s">
        <v>386</v>
      </c>
      <c r="I301">
        <v>393270.42</v>
      </c>
      <c r="J301">
        <v>393270.42</v>
      </c>
    </row>
    <row r="302" spans="1:12" x14ac:dyDescent="0.3">
      <c r="A302" t="s">
        <v>19</v>
      </c>
      <c r="B302" t="s">
        <v>96</v>
      </c>
      <c r="C302" t="s">
        <v>24</v>
      </c>
      <c r="D302" t="s">
        <v>40</v>
      </c>
      <c r="E302" t="s">
        <v>387</v>
      </c>
      <c r="F302" t="s">
        <v>384</v>
      </c>
      <c r="K302">
        <v>337088.93</v>
      </c>
      <c r="L302">
        <v>449451.9</v>
      </c>
    </row>
    <row r="303" spans="1:12" x14ac:dyDescent="0.3">
      <c r="A303" t="s">
        <v>19</v>
      </c>
      <c r="B303" t="s">
        <v>96</v>
      </c>
      <c r="C303" t="s">
        <v>24</v>
      </c>
      <c r="D303" t="s">
        <v>40</v>
      </c>
      <c r="E303" t="s">
        <v>387</v>
      </c>
      <c r="F303" t="s">
        <v>385</v>
      </c>
    </row>
    <row r="304" spans="1:12" x14ac:dyDescent="0.3">
      <c r="A304" t="s">
        <v>19</v>
      </c>
      <c r="B304" t="s">
        <v>96</v>
      </c>
      <c r="C304" t="s">
        <v>24</v>
      </c>
      <c r="D304" t="s">
        <v>40</v>
      </c>
      <c r="E304" t="s">
        <v>387</v>
      </c>
      <c r="F304" t="s">
        <v>386</v>
      </c>
      <c r="K304">
        <v>337088.93</v>
      </c>
      <c r="L304">
        <v>449451.9</v>
      </c>
    </row>
    <row r="305" spans="1:14" x14ac:dyDescent="0.3">
      <c r="A305" t="s">
        <v>19</v>
      </c>
      <c r="B305" t="s">
        <v>98</v>
      </c>
      <c r="C305" t="s">
        <v>24</v>
      </c>
      <c r="D305" t="s">
        <v>40</v>
      </c>
      <c r="E305" t="s">
        <v>387</v>
      </c>
      <c r="F305" t="s">
        <v>384</v>
      </c>
      <c r="L305">
        <v>196635.21</v>
      </c>
      <c r="M305">
        <v>458815.48</v>
      </c>
      <c r="N305">
        <v>131090.14000000001</v>
      </c>
    </row>
    <row r="306" spans="1:14" x14ac:dyDescent="0.3">
      <c r="A306" t="s">
        <v>19</v>
      </c>
      <c r="B306" t="s">
        <v>98</v>
      </c>
      <c r="C306" t="s">
        <v>24</v>
      </c>
      <c r="D306" t="s">
        <v>40</v>
      </c>
      <c r="E306" t="s">
        <v>387</v>
      </c>
      <c r="F306" t="s">
        <v>385</v>
      </c>
    </row>
    <row r="307" spans="1:14" x14ac:dyDescent="0.3">
      <c r="A307" t="s">
        <v>19</v>
      </c>
      <c r="B307" t="s">
        <v>98</v>
      </c>
      <c r="C307" t="s">
        <v>24</v>
      </c>
      <c r="D307" t="s">
        <v>40</v>
      </c>
      <c r="E307" t="s">
        <v>387</v>
      </c>
      <c r="F307" t="s">
        <v>386</v>
      </c>
      <c r="L307">
        <v>196635.21</v>
      </c>
      <c r="M307">
        <v>458815.48</v>
      </c>
      <c r="N307">
        <v>131090.14000000001</v>
      </c>
    </row>
    <row r="308" spans="1:14" x14ac:dyDescent="0.3">
      <c r="A308" t="s">
        <v>19</v>
      </c>
      <c r="B308" t="s">
        <v>100</v>
      </c>
      <c r="C308" t="s">
        <v>24</v>
      </c>
      <c r="D308" t="s">
        <v>61</v>
      </c>
      <c r="E308" t="s">
        <v>387</v>
      </c>
      <c r="F308" t="s">
        <v>384</v>
      </c>
      <c r="J308">
        <v>629232.66</v>
      </c>
      <c r="K308">
        <v>157308.17000000001</v>
      </c>
    </row>
    <row r="309" spans="1:14" x14ac:dyDescent="0.3">
      <c r="A309" t="s">
        <v>19</v>
      </c>
      <c r="B309" t="s">
        <v>100</v>
      </c>
      <c r="C309" t="s">
        <v>24</v>
      </c>
      <c r="D309" t="s">
        <v>61</v>
      </c>
      <c r="E309" t="s">
        <v>387</v>
      </c>
      <c r="F309" t="s">
        <v>385</v>
      </c>
    </row>
    <row r="310" spans="1:14" x14ac:dyDescent="0.3">
      <c r="A310" t="s">
        <v>19</v>
      </c>
      <c r="B310" t="s">
        <v>100</v>
      </c>
      <c r="C310" t="s">
        <v>24</v>
      </c>
      <c r="D310" t="s">
        <v>61</v>
      </c>
      <c r="E310" t="s">
        <v>387</v>
      </c>
      <c r="F310" t="s">
        <v>386</v>
      </c>
      <c r="J310">
        <v>629232.66</v>
      </c>
      <c r="K310">
        <v>157308.17000000001</v>
      </c>
    </row>
    <row r="311" spans="1:14" x14ac:dyDescent="0.3">
      <c r="A311" t="s">
        <v>19</v>
      </c>
      <c r="B311" t="s">
        <v>103</v>
      </c>
      <c r="C311" t="s">
        <v>24</v>
      </c>
      <c r="D311" t="s">
        <v>64</v>
      </c>
      <c r="E311" t="s">
        <v>387</v>
      </c>
      <c r="F311" t="s">
        <v>384</v>
      </c>
      <c r="J311">
        <v>629232.66</v>
      </c>
      <c r="K311">
        <v>157308.17000000001</v>
      </c>
    </row>
    <row r="312" spans="1:14" x14ac:dyDescent="0.3">
      <c r="A312" t="s">
        <v>19</v>
      </c>
      <c r="B312" t="s">
        <v>103</v>
      </c>
      <c r="C312" t="s">
        <v>24</v>
      </c>
      <c r="D312" t="s">
        <v>64</v>
      </c>
      <c r="E312" t="s">
        <v>387</v>
      </c>
      <c r="F312" t="s">
        <v>385</v>
      </c>
    </row>
    <row r="313" spans="1:14" x14ac:dyDescent="0.3">
      <c r="A313" t="s">
        <v>19</v>
      </c>
      <c r="B313" t="s">
        <v>103</v>
      </c>
      <c r="C313" t="s">
        <v>24</v>
      </c>
      <c r="D313" t="s">
        <v>64</v>
      </c>
      <c r="E313" t="s">
        <v>387</v>
      </c>
      <c r="F313" t="s">
        <v>386</v>
      </c>
      <c r="J313">
        <v>629232.66</v>
      </c>
      <c r="K313">
        <v>157308.17000000001</v>
      </c>
    </row>
    <row r="314" spans="1:14" x14ac:dyDescent="0.3">
      <c r="A314" t="s">
        <v>19</v>
      </c>
      <c r="B314" t="s">
        <v>105</v>
      </c>
      <c r="C314" t="s">
        <v>24</v>
      </c>
      <c r="D314" t="s">
        <v>40</v>
      </c>
      <c r="E314" t="s">
        <v>387</v>
      </c>
      <c r="F314" t="s">
        <v>384</v>
      </c>
      <c r="I314">
        <v>786540.83</v>
      </c>
    </row>
    <row r="315" spans="1:14" x14ac:dyDescent="0.3">
      <c r="A315" t="s">
        <v>19</v>
      </c>
      <c r="B315" t="s">
        <v>105</v>
      </c>
      <c r="C315" t="s">
        <v>24</v>
      </c>
      <c r="D315" t="s">
        <v>40</v>
      </c>
      <c r="E315" t="s">
        <v>387</v>
      </c>
      <c r="F315" t="s">
        <v>385</v>
      </c>
    </row>
    <row r="316" spans="1:14" x14ac:dyDescent="0.3">
      <c r="A316" t="s">
        <v>19</v>
      </c>
      <c r="B316" t="s">
        <v>105</v>
      </c>
      <c r="C316" t="s">
        <v>24</v>
      </c>
      <c r="D316" t="s">
        <v>40</v>
      </c>
      <c r="E316" t="s">
        <v>387</v>
      </c>
      <c r="F316" t="s">
        <v>386</v>
      </c>
      <c r="I316">
        <v>786540.83</v>
      </c>
    </row>
    <row r="317" spans="1:14" x14ac:dyDescent="0.3">
      <c r="A317" t="s">
        <v>19</v>
      </c>
      <c r="B317" t="s">
        <v>108</v>
      </c>
      <c r="C317" t="s">
        <v>24</v>
      </c>
      <c r="D317" t="s">
        <v>45</v>
      </c>
      <c r="E317" t="s">
        <v>387</v>
      </c>
      <c r="F317" t="s">
        <v>384</v>
      </c>
      <c r="J317">
        <v>674177.85</v>
      </c>
      <c r="K317">
        <v>112362.98</v>
      </c>
    </row>
    <row r="318" spans="1:14" x14ac:dyDescent="0.3">
      <c r="A318" t="s">
        <v>19</v>
      </c>
      <c r="B318" t="s">
        <v>108</v>
      </c>
      <c r="C318" t="s">
        <v>24</v>
      </c>
      <c r="D318" t="s">
        <v>45</v>
      </c>
      <c r="E318" t="s">
        <v>387</v>
      </c>
      <c r="F318" t="s">
        <v>385</v>
      </c>
    </row>
    <row r="319" spans="1:14" x14ac:dyDescent="0.3">
      <c r="A319" t="s">
        <v>19</v>
      </c>
      <c r="B319" t="s">
        <v>108</v>
      </c>
      <c r="C319" t="s">
        <v>24</v>
      </c>
      <c r="D319" t="s">
        <v>45</v>
      </c>
      <c r="E319" t="s">
        <v>387</v>
      </c>
      <c r="F319" t="s">
        <v>386</v>
      </c>
      <c r="J319">
        <v>674177.85</v>
      </c>
      <c r="K319">
        <v>112362.98</v>
      </c>
    </row>
    <row r="320" spans="1:14" x14ac:dyDescent="0.3">
      <c r="A320" t="s">
        <v>19</v>
      </c>
      <c r="B320" t="s">
        <v>111</v>
      </c>
      <c r="C320" t="s">
        <v>24</v>
      </c>
      <c r="D320" t="s">
        <v>31</v>
      </c>
      <c r="E320" t="s">
        <v>387</v>
      </c>
      <c r="F320" t="s">
        <v>384</v>
      </c>
      <c r="K320">
        <v>294952.81</v>
      </c>
      <c r="L320">
        <v>491588.02</v>
      </c>
    </row>
    <row r="321" spans="1:15" x14ac:dyDescent="0.3">
      <c r="A321" t="s">
        <v>19</v>
      </c>
      <c r="B321" t="s">
        <v>111</v>
      </c>
      <c r="C321" t="s">
        <v>24</v>
      </c>
      <c r="D321" t="s">
        <v>31</v>
      </c>
      <c r="E321" t="s">
        <v>387</v>
      </c>
      <c r="F321" t="s">
        <v>385</v>
      </c>
    </row>
    <row r="322" spans="1:15" x14ac:dyDescent="0.3">
      <c r="A322" t="s">
        <v>19</v>
      </c>
      <c r="B322" t="s">
        <v>111</v>
      </c>
      <c r="C322" t="s">
        <v>24</v>
      </c>
      <c r="D322" t="s">
        <v>31</v>
      </c>
      <c r="E322" t="s">
        <v>387</v>
      </c>
      <c r="F322" t="s">
        <v>386</v>
      </c>
      <c r="K322">
        <v>294952.81</v>
      </c>
      <c r="L322">
        <v>491588.02</v>
      </c>
    </row>
    <row r="323" spans="1:15" x14ac:dyDescent="0.3">
      <c r="A323" t="s">
        <v>19</v>
      </c>
      <c r="B323" t="s">
        <v>114</v>
      </c>
      <c r="C323" t="s">
        <v>24</v>
      </c>
      <c r="D323" t="s">
        <v>40</v>
      </c>
      <c r="E323" t="s">
        <v>387</v>
      </c>
      <c r="F323" t="s">
        <v>384</v>
      </c>
      <c r="J323">
        <v>524360.55000000005</v>
      </c>
      <c r="K323">
        <v>262180.28000000003</v>
      </c>
    </row>
    <row r="324" spans="1:15" x14ac:dyDescent="0.3">
      <c r="A324" t="s">
        <v>19</v>
      </c>
      <c r="B324" t="s">
        <v>114</v>
      </c>
      <c r="C324" t="s">
        <v>24</v>
      </c>
      <c r="D324" t="s">
        <v>40</v>
      </c>
      <c r="E324" t="s">
        <v>387</v>
      </c>
      <c r="F324" t="s">
        <v>385</v>
      </c>
    </row>
    <row r="325" spans="1:15" x14ac:dyDescent="0.3">
      <c r="A325" t="s">
        <v>19</v>
      </c>
      <c r="B325" t="s">
        <v>114</v>
      </c>
      <c r="C325" t="s">
        <v>24</v>
      </c>
      <c r="D325" t="s">
        <v>40</v>
      </c>
      <c r="E325" t="s">
        <v>387</v>
      </c>
      <c r="F325" t="s">
        <v>386</v>
      </c>
      <c r="J325">
        <v>524360.55000000005</v>
      </c>
      <c r="K325">
        <v>262180.28000000003</v>
      </c>
    </row>
    <row r="326" spans="1:15" x14ac:dyDescent="0.3">
      <c r="A326" t="s">
        <v>19</v>
      </c>
      <c r="B326" t="s">
        <v>116</v>
      </c>
      <c r="C326" t="s">
        <v>24</v>
      </c>
      <c r="D326" t="s">
        <v>40</v>
      </c>
      <c r="E326" t="s">
        <v>387</v>
      </c>
      <c r="F326" t="s">
        <v>384</v>
      </c>
      <c r="L326">
        <v>224725.95</v>
      </c>
      <c r="M326">
        <v>561814.88</v>
      </c>
    </row>
    <row r="327" spans="1:15" x14ac:dyDescent="0.3">
      <c r="A327" t="s">
        <v>19</v>
      </c>
      <c r="B327" t="s">
        <v>116</v>
      </c>
      <c r="C327" t="s">
        <v>24</v>
      </c>
      <c r="D327" t="s">
        <v>40</v>
      </c>
      <c r="E327" t="s">
        <v>387</v>
      </c>
      <c r="F327" t="s">
        <v>385</v>
      </c>
    </row>
    <row r="328" spans="1:15" x14ac:dyDescent="0.3">
      <c r="A328" t="s">
        <v>19</v>
      </c>
      <c r="B328" t="s">
        <v>116</v>
      </c>
      <c r="C328" t="s">
        <v>24</v>
      </c>
      <c r="D328" t="s">
        <v>40</v>
      </c>
      <c r="E328" t="s">
        <v>387</v>
      </c>
      <c r="F328" t="s">
        <v>386</v>
      </c>
      <c r="L328">
        <v>224725.95</v>
      </c>
      <c r="M328">
        <v>561814.88</v>
      </c>
    </row>
    <row r="329" spans="1:15" x14ac:dyDescent="0.3">
      <c r="A329" t="s">
        <v>19</v>
      </c>
      <c r="B329" t="s">
        <v>118</v>
      </c>
      <c r="C329" t="s">
        <v>24</v>
      </c>
      <c r="D329" t="s">
        <v>40</v>
      </c>
      <c r="E329" t="s">
        <v>387</v>
      </c>
      <c r="F329" t="s">
        <v>384</v>
      </c>
      <c r="M329">
        <v>131090.14000000001</v>
      </c>
      <c r="N329">
        <v>458815.48</v>
      </c>
      <c r="O329">
        <v>196635.21</v>
      </c>
    </row>
    <row r="330" spans="1:15" x14ac:dyDescent="0.3">
      <c r="A330" t="s">
        <v>19</v>
      </c>
      <c r="B330" t="s">
        <v>118</v>
      </c>
      <c r="C330" t="s">
        <v>24</v>
      </c>
      <c r="D330" t="s">
        <v>40</v>
      </c>
      <c r="E330" t="s">
        <v>387</v>
      </c>
      <c r="F330" t="s">
        <v>385</v>
      </c>
    </row>
    <row r="331" spans="1:15" x14ac:dyDescent="0.3">
      <c r="A331" t="s">
        <v>19</v>
      </c>
      <c r="B331" t="s">
        <v>118</v>
      </c>
      <c r="C331" t="s">
        <v>24</v>
      </c>
      <c r="D331" t="s">
        <v>40</v>
      </c>
      <c r="E331" t="s">
        <v>387</v>
      </c>
      <c r="F331" t="s">
        <v>386</v>
      </c>
      <c r="M331">
        <v>131090.14000000001</v>
      </c>
      <c r="N331">
        <v>458815.48</v>
      </c>
      <c r="O331">
        <v>196635.21</v>
      </c>
    </row>
    <row r="332" spans="1:15" x14ac:dyDescent="0.3">
      <c r="A332" t="s">
        <v>19</v>
      </c>
      <c r="B332" t="s">
        <v>120</v>
      </c>
      <c r="C332" t="s">
        <v>24</v>
      </c>
      <c r="D332" t="s">
        <v>61</v>
      </c>
      <c r="E332" t="s">
        <v>387</v>
      </c>
      <c r="F332" t="s">
        <v>384</v>
      </c>
      <c r="K332">
        <v>786540.83</v>
      </c>
    </row>
    <row r="333" spans="1:15" x14ac:dyDescent="0.3">
      <c r="A333" t="s">
        <v>19</v>
      </c>
      <c r="B333" t="s">
        <v>120</v>
      </c>
      <c r="C333" t="s">
        <v>24</v>
      </c>
      <c r="D333" t="s">
        <v>61</v>
      </c>
      <c r="E333" t="s">
        <v>387</v>
      </c>
      <c r="F333" t="s">
        <v>385</v>
      </c>
    </row>
    <row r="334" spans="1:15" x14ac:dyDescent="0.3">
      <c r="A334" t="s">
        <v>19</v>
      </c>
      <c r="B334" t="s">
        <v>120</v>
      </c>
      <c r="C334" t="s">
        <v>24</v>
      </c>
      <c r="D334" t="s">
        <v>61</v>
      </c>
      <c r="E334" t="s">
        <v>387</v>
      </c>
      <c r="F334" t="s">
        <v>386</v>
      </c>
      <c r="K334">
        <v>786540.83</v>
      </c>
    </row>
    <row r="335" spans="1:15" x14ac:dyDescent="0.3">
      <c r="A335" t="s">
        <v>19</v>
      </c>
      <c r="B335" t="s">
        <v>123</v>
      </c>
      <c r="C335" t="s">
        <v>24</v>
      </c>
      <c r="D335" t="s">
        <v>64</v>
      </c>
      <c r="E335" t="s">
        <v>387</v>
      </c>
      <c r="F335" t="s">
        <v>384</v>
      </c>
      <c r="K335">
        <v>786540.83</v>
      </c>
    </row>
    <row r="336" spans="1:15" x14ac:dyDescent="0.3">
      <c r="A336" t="s">
        <v>19</v>
      </c>
      <c r="B336" t="s">
        <v>123</v>
      </c>
      <c r="C336" t="s">
        <v>24</v>
      </c>
      <c r="D336" t="s">
        <v>64</v>
      </c>
      <c r="E336" t="s">
        <v>387</v>
      </c>
      <c r="F336" t="s">
        <v>385</v>
      </c>
    </row>
    <row r="337" spans="1:38" x14ac:dyDescent="0.3">
      <c r="A337" t="s">
        <v>19</v>
      </c>
      <c r="B337" t="s">
        <v>123</v>
      </c>
      <c r="C337" t="s">
        <v>24</v>
      </c>
      <c r="D337" t="s">
        <v>64</v>
      </c>
      <c r="E337" t="s">
        <v>387</v>
      </c>
      <c r="F337" t="s">
        <v>386</v>
      </c>
      <c r="K337">
        <v>786540.83</v>
      </c>
    </row>
    <row r="338" spans="1:38" x14ac:dyDescent="0.3">
      <c r="A338" t="s">
        <v>19</v>
      </c>
      <c r="B338" t="s">
        <v>125</v>
      </c>
      <c r="C338" t="s">
        <v>128</v>
      </c>
      <c r="D338" t="s">
        <v>40</v>
      </c>
      <c r="E338" t="s">
        <v>387</v>
      </c>
      <c r="F338" t="s">
        <v>384</v>
      </c>
      <c r="R338">
        <v>1166281.77</v>
      </c>
      <c r="S338">
        <v>2040993.09</v>
      </c>
      <c r="T338">
        <v>2040993.09</v>
      </c>
      <c r="U338">
        <v>1457852.21</v>
      </c>
      <c r="W338">
        <v>291570.44</v>
      </c>
      <c r="X338">
        <v>2040993.09</v>
      </c>
      <c r="Y338">
        <v>2040993.09</v>
      </c>
      <c r="Z338">
        <v>2040993.09</v>
      </c>
      <c r="AA338">
        <v>2040993.09</v>
      </c>
      <c r="AB338">
        <v>2040993.09</v>
      </c>
      <c r="AC338">
        <v>291570.44</v>
      </c>
    </row>
    <row r="339" spans="1:38" x14ac:dyDescent="0.3">
      <c r="A339" t="s">
        <v>19</v>
      </c>
      <c r="B339" t="s">
        <v>125</v>
      </c>
      <c r="C339" t="s">
        <v>128</v>
      </c>
      <c r="D339" t="s">
        <v>40</v>
      </c>
      <c r="E339" t="s">
        <v>387</v>
      </c>
      <c r="F339" t="s">
        <v>385</v>
      </c>
    </row>
    <row r="340" spans="1:38" x14ac:dyDescent="0.3">
      <c r="A340" t="s">
        <v>19</v>
      </c>
      <c r="B340" t="s">
        <v>125</v>
      </c>
      <c r="C340" t="s">
        <v>128</v>
      </c>
      <c r="D340" t="s">
        <v>40</v>
      </c>
      <c r="E340" t="s">
        <v>387</v>
      </c>
      <c r="F340" t="s">
        <v>386</v>
      </c>
      <c r="R340">
        <v>1166281.77</v>
      </c>
      <c r="S340">
        <v>2040993.09</v>
      </c>
      <c r="T340">
        <v>2040993.09</v>
      </c>
      <c r="U340">
        <v>1457852.21</v>
      </c>
      <c r="W340">
        <v>291570.44</v>
      </c>
      <c r="X340">
        <v>2040993.09</v>
      </c>
      <c r="Y340">
        <v>2040993.09</v>
      </c>
      <c r="Z340">
        <v>2040993.09</v>
      </c>
      <c r="AA340">
        <v>2040993.09</v>
      </c>
      <c r="AB340">
        <v>2040993.09</v>
      </c>
      <c r="AC340">
        <v>291570.44</v>
      </c>
    </row>
    <row r="341" spans="1:38" x14ac:dyDescent="0.3">
      <c r="A341" t="s">
        <v>19</v>
      </c>
      <c r="B341" t="s">
        <v>131</v>
      </c>
      <c r="C341" t="s">
        <v>128</v>
      </c>
      <c r="D341" t="s">
        <v>40</v>
      </c>
      <c r="E341" t="s">
        <v>387</v>
      </c>
      <c r="F341" t="s">
        <v>384</v>
      </c>
      <c r="X341">
        <v>85972.75</v>
      </c>
      <c r="Y341">
        <v>601809.25</v>
      </c>
      <c r="Z341">
        <v>601809.25</v>
      </c>
      <c r="AA341">
        <v>601809.25</v>
      </c>
      <c r="AB341">
        <v>601809.25</v>
      </c>
      <c r="AC341">
        <v>601809.25</v>
      </c>
      <c r="AD341">
        <v>601809.25</v>
      </c>
      <c r="AE341">
        <v>515836.5</v>
      </c>
      <c r="AG341">
        <v>85972.75</v>
      </c>
      <c r="AH341">
        <v>601809.25</v>
      </c>
      <c r="AI341">
        <v>257918.25</v>
      </c>
    </row>
    <row r="342" spans="1:38" x14ac:dyDescent="0.3">
      <c r="A342" t="s">
        <v>19</v>
      </c>
      <c r="B342" t="s">
        <v>131</v>
      </c>
      <c r="C342" t="s">
        <v>128</v>
      </c>
      <c r="D342" t="s">
        <v>40</v>
      </c>
      <c r="E342" t="s">
        <v>387</v>
      </c>
      <c r="F342" t="s">
        <v>385</v>
      </c>
    </row>
    <row r="343" spans="1:38" x14ac:dyDescent="0.3">
      <c r="A343" t="s">
        <v>19</v>
      </c>
      <c r="B343" t="s">
        <v>131</v>
      </c>
      <c r="C343" t="s">
        <v>128</v>
      </c>
      <c r="D343" t="s">
        <v>40</v>
      </c>
      <c r="E343" t="s">
        <v>387</v>
      </c>
      <c r="F343" t="s">
        <v>386</v>
      </c>
      <c r="X343">
        <v>85972.75</v>
      </c>
      <c r="Y343">
        <v>601809.25</v>
      </c>
      <c r="Z343">
        <v>601809.25</v>
      </c>
      <c r="AA343">
        <v>601809.25</v>
      </c>
      <c r="AB343">
        <v>601809.25</v>
      </c>
      <c r="AC343">
        <v>601809.25</v>
      </c>
      <c r="AD343">
        <v>601809.25</v>
      </c>
      <c r="AE343">
        <v>515836.5</v>
      </c>
      <c r="AG343">
        <v>85972.75</v>
      </c>
      <c r="AH343">
        <v>601809.25</v>
      </c>
      <c r="AI343">
        <v>257918.25</v>
      </c>
    </row>
    <row r="344" spans="1:38" x14ac:dyDescent="0.3">
      <c r="A344" t="s">
        <v>19</v>
      </c>
      <c r="B344" t="s">
        <v>134</v>
      </c>
      <c r="C344" t="s">
        <v>128</v>
      </c>
      <c r="D344" t="s">
        <v>45</v>
      </c>
      <c r="E344" t="s">
        <v>387</v>
      </c>
      <c r="F344" t="s">
        <v>384</v>
      </c>
      <c r="K344">
        <v>4008786.52</v>
      </c>
      <c r="L344">
        <v>4676917.6100000003</v>
      </c>
      <c r="M344">
        <v>4676917.6100000003</v>
      </c>
      <c r="N344">
        <v>4676917.6100000003</v>
      </c>
      <c r="O344">
        <v>4676917.6100000003</v>
      </c>
      <c r="P344">
        <v>4676917.6100000003</v>
      </c>
      <c r="Q344">
        <v>4676917.6100000003</v>
      </c>
      <c r="R344">
        <v>4676917.6100000003</v>
      </c>
      <c r="S344">
        <v>4676917.6100000003</v>
      </c>
      <c r="T344">
        <v>4676917.6100000003</v>
      </c>
      <c r="U344">
        <v>3340655.44</v>
      </c>
      <c r="W344">
        <v>668131.09</v>
      </c>
      <c r="X344">
        <v>4676917.6100000003</v>
      </c>
      <c r="Y344">
        <v>4676917.6100000003</v>
      </c>
      <c r="Z344">
        <v>668131.09</v>
      </c>
    </row>
    <row r="345" spans="1:38" x14ac:dyDescent="0.3">
      <c r="A345" t="s">
        <v>19</v>
      </c>
      <c r="B345" t="s">
        <v>134</v>
      </c>
      <c r="C345" t="s">
        <v>128</v>
      </c>
      <c r="D345" t="s">
        <v>45</v>
      </c>
      <c r="E345" t="s">
        <v>387</v>
      </c>
      <c r="F345" t="s">
        <v>385</v>
      </c>
    </row>
    <row r="346" spans="1:38" x14ac:dyDescent="0.3">
      <c r="A346" t="s">
        <v>19</v>
      </c>
      <c r="B346" t="s">
        <v>134</v>
      </c>
      <c r="C346" t="s">
        <v>128</v>
      </c>
      <c r="D346" t="s">
        <v>45</v>
      </c>
      <c r="E346" t="s">
        <v>387</v>
      </c>
      <c r="F346" t="s">
        <v>386</v>
      </c>
      <c r="K346">
        <v>4008786.52</v>
      </c>
      <c r="L346">
        <v>4676917.6100000003</v>
      </c>
      <c r="M346">
        <v>4676917.6100000003</v>
      </c>
      <c r="N346">
        <v>4676917.6100000003</v>
      </c>
      <c r="O346">
        <v>4676917.6100000003</v>
      </c>
      <c r="P346">
        <v>4676917.6100000003</v>
      </c>
      <c r="Q346">
        <v>4676917.6100000003</v>
      </c>
      <c r="R346">
        <v>4676917.6100000003</v>
      </c>
      <c r="S346">
        <v>4676917.6100000003</v>
      </c>
      <c r="T346">
        <v>4676917.6100000003</v>
      </c>
      <c r="U346">
        <v>3340655.44</v>
      </c>
      <c r="W346">
        <v>668131.09</v>
      </c>
      <c r="X346">
        <v>4676917.6100000003</v>
      </c>
      <c r="Y346">
        <v>4676917.6100000003</v>
      </c>
      <c r="Z346">
        <v>668131.09</v>
      </c>
    </row>
    <row r="347" spans="1:38" x14ac:dyDescent="0.3">
      <c r="A347" t="s">
        <v>19</v>
      </c>
      <c r="B347" t="s">
        <v>138</v>
      </c>
      <c r="C347" t="s">
        <v>128</v>
      </c>
      <c r="D347" t="s">
        <v>31</v>
      </c>
      <c r="E347" t="s">
        <v>387</v>
      </c>
      <c r="F347" t="s">
        <v>384</v>
      </c>
      <c r="U347">
        <v>1328841.99</v>
      </c>
      <c r="W347">
        <v>442947.33</v>
      </c>
      <c r="X347">
        <v>3100631.31</v>
      </c>
      <c r="Y347">
        <v>3100631.31</v>
      </c>
      <c r="Z347">
        <v>3100631.31</v>
      </c>
      <c r="AA347">
        <v>3100631.31</v>
      </c>
      <c r="AB347">
        <v>3100631.31</v>
      </c>
      <c r="AC347">
        <v>3100631.31</v>
      </c>
      <c r="AD347">
        <v>3100631.31</v>
      </c>
      <c r="AE347">
        <v>2657683.98</v>
      </c>
      <c r="AG347">
        <v>442947.33</v>
      </c>
      <c r="AH347">
        <v>3100631.31</v>
      </c>
      <c r="AI347">
        <v>3100631.31</v>
      </c>
      <c r="AJ347">
        <v>3100631.31</v>
      </c>
      <c r="AK347">
        <v>3100631.31</v>
      </c>
      <c r="AL347">
        <v>885894.66</v>
      </c>
    </row>
    <row r="348" spans="1:38" x14ac:dyDescent="0.3">
      <c r="A348" t="s">
        <v>19</v>
      </c>
      <c r="B348" t="s">
        <v>138</v>
      </c>
      <c r="C348" t="s">
        <v>128</v>
      </c>
      <c r="D348" t="s">
        <v>31</v>
      </c>
      <c r="E348" t="s">
        <v>387</v>
      </c>
      <c r="F348" t="s">
        <v>385</v>
      </c>
    </row>
    <row r="349" spans="1:38" x14ac:dyDescent="0.3">
      <c r="A349" t="s">
        <v>19</v>
      </c>
      <c r="B349" t="s">
        <v>138</v>
      </c>
      <c r="C349" t="s">
        <v>128</v>
      </c>
      <c r="D349" t="s">
        <v>31</v>
      </c>
      <c r="E349" t="s">
        <v>387</v>
      </c>
      <c r="F349" t="s">
        <v>386</v>
      </c>
      <c r="U349">
        <v>1328841.99</v>
      </c>
      <c r="W349">
        <v>442947.33</v>
      </c>
      <c r="X349">
        <v>3100631.31</v>
      </c>
      <c r="Y349">
        <v>3100631.31</v>
      </c>
      <c r="Z349">
        <v>3100631.31</v>
      </c>
      <c r="AA349">
        <v>3100631.31</v>
      </c>
      <c r="AB349">
        <v>3100631.31</v>
      </c>
      <c r="AC349">
        <v>3100631.31</v>
      </c>
      <c r="AD349">
        <v>3100631.31</v>
      </c>
      <c r="AE349">
        <v>2657683.98</v>
      </c>
      <c r="AG349">
        <v>442947.33</v>
      </c>
      <c r="AH349">
        <v>3100631.31</v>
      </c>
      <c r="AI349">
        <v>3100631.31</v>
      </c>
      <c r="AJ349">
        <v>3100631.31</v>
      </c>
      <c r="AK349">
        <v>3100631.31</v>
      </c>
      <c r="AL349">
        <v>885894.66</v>
      </c>
    </row>
    <row r="350" spans="1:38" x14ac:dyDescent="0.3">
      <c r="A350" t="s">
        <v>19</v>
      </c>
      <c r="B350" t="s">
        <v>141</v>
      </c>
      <c r="C350" t="s">
        <v>128</v>
      </c>
      <c r="D350" t="s">
        <v>31</v>
      </c>
      <c r="E350" t="s">
        <v>387</v>
      </c>
      <c r="F350" t="s">
        <v>384</v>
      </c>
      <c r="U350">
        <v>233718.15</v>
      </c>
      <c r="W350">
        <v>77906.05</v>
      </c>
      <c r="X350">
        <v>545342.35</v>
      </c>
      <c r="Y350">
        <v>545342.35</v>
      </c>
      <c r="Z350">
        <v>545342.35</v>
      </c>
      <c r="AA350">
        <v>545342.35</v>
      </c>
      <c r="AB350">
        <v>545342.35</v>
      </c>
      <c r="AC350">
        <v>545342.35</v>
      </c>
      <c r="AD350">
        <v>545342.35</v>
      </c>
      <c r="AE350">
        <v>467436.3</v>
      </c>
      <c r="AG350">
        <v>77906.05</v>
      </c>
    </row>
    <row r="351" spans="1:38" x14ac:dyDescent="0.3">
      <c r="A351" t="s">
        <v>19</v>
      </c>
      <c r="B351" t="s">
        <v>141</v>
      </c>
      <c r="C351" t="s">
        <v>128</v>
      </c>
      <c r="D351" t="s">
        <v>31</v>
      </c>
      <c r="E351" t="s">
        <v>387</v>
      </c>
      <c r="F351" t="s">
        <v>385</v>
      </c>
    </row>
    <row r="352" spans="1:38" x14ac:dyDescent="0.3">
      <c r="A352" t="s">
        <v>19</v>
      </c>
      <c r="B352" t="s">
        <v>141</v>
      </c>
      <c r="C352" t="s">
        <v>128</v>
      </c>
      <c r="D352" t="s">
        <v>31</v>
      </c>
      <c r="E352" t="s">
        <v>387</v>
      </c>
      <c r="F352" t="s">
        <v>386</v>
      </c>
      <c r="U352">
        <v>233718.15</v>
      </c>
      <c r="W352">
        <v>77906.05</v>
      </c>
      <c r="X352">
        <v>545342.35</v>
      </c>
      <c r="Y352">
        <v>545342.35</v>
      </c>
      <c r="Z352">
        <v>545342.35</v>
      </c>
      <c r="AA352">
        <v>545342.35</v>
      </c>
      <c r="AB352">
        <v>545342.35</v>
      </c>
      <c r="AC352">
        <v>545342.35</v>
      </c>
      <c r="AD352">
        <v>545342.35</v>
      </c>
      <c r="AE352">
        <v>467436.3</v>
      </c>
      <c r="AG352">
        <v>77906.05</v>
      </c>
    </row>
    <row r="353" spans="1:39" x14ac:dyDescent="0.3">
      <c r="A353" t="s">
        <v>19</v>
      </c>
      <c r="B353" t="s">
        <v>144</v>
      </c>
      <c r="C353" t="s">
        <v>128</v>
      </c>
      <c r="D353" t="s">
        <v>61</v>
      </c>
      <c r="E353" t="s">
        <v>387</v>
      </c>
      <c r="F353" t="s">
        <v>384</v>
      </c>
      <c r="AD353">
        <v>50546.080000000002</v>
      </c>
      <c r="AE353">
        <v>101092.16</v>
      </c>
      <c r="AG353">
        <v>16848.689999999999</v>
      </c>
      <c r="AH353">
        <v>117940.86</v>
      </c>
      <c r="AI353">
        <v>117940.86</v>
      </c>
      <c r="AJ353">
        <v>101092.16</v>
      </c>
    </row>
    <row r="354" spans="1:39" x14ac:dyDescent="0.3">
      <c r="A354" t="s">
        <v>19</v>
      </c>
      <c r="B354" t="s">
        <v>144</v>
      </c>
      <c r="C354" t="s">
        <v>128</v>
      </c>
      <c r="D354" t="s">
        <v>61</v>
      </c>
      <c r="E354" t="s">
        <v>387</v>
      </c>
      <c r="F354" t="s">
        <v>385</v>
      </c>
    </row>
    <row r="355" spans="1:39" x14ac:dyDescent="0.3">
      <c r="A355" t="s">
        <v>19</v>
      </c>
      <c r="B355" t="s">
        <v>144</v>
      </c>
      <c r="C355" t="s">
        <v>128</v>
      </c>
      <c r="D355" t="s">
        <v>61</v>
      </c>
      <c r="E355" t="s">
        <v>387</v>
      </c>
      <c r="F355" t="s">
        <v>386</v>
      </c>
      <c r="AD355">
        <v>50546.080000000002</v>
      </c>
      <c r="AE355">
        <v>101092.16</v>
      </c>
      <c r="AG355">
        <v>16848.689999999999</v>
      </c>
      <c r="AH355">
        <v>117940.86</v>
      </c>
      <c r="AI355">
        <v>117940.86</v>
      </c>
      <c r="AJ355">
        <v>101092.16</v>
      </c>
    </row>
    <row r="356" spans="1:39" x14ac:dyDescent="0.3">
      <c r="A356" t="s">
        <v>19</v>
      </c>
      <c r="B356" t="s">
        <v>148</v>
      </c>
      <c r="C356" t="s">
        <v>128</v>
      </c>
      <c r="D356" t="s">
        <v>64</v>
      </c>
      <c r="E356" t="s">
        <v>387</v>
      </c>
      <c r="F356" t="s">
        <v>384</v>
      </c>
      <c r="AD356">
        <v>34015.730000000003</v>
      </c>
      <c r="AE356">
        <v>68031.47</v>
      </c>
      <c r="AG356">
        <v>11338.58</v>
      </c>
      <c r="AH356">
        <v>79370.039999999994</v>
      </c>
      <c r="AI356">
        <v>79370.039999999994</v>
      </c>
      <c r="AJ356">
        <v>68031.47</v>
      </c>
    </row>
    <row r="357" spans="1:39" x14ac:dyDescent="0.3">
      <c r="A357" t="s">
        <v>19</v>
      </c>
      <c r="B357" t="s">
        <v>148</v>
      </c>
      <c r="C357" t="s">
        <v>128</v>
      </c>
      <c r="D357" t="s">
        <v>64</v>
      </c>
      <c r="E357" t="s">
        <v>387</v>
      </c>
      <c r="F357" t="s">
        <v>385</v>
      </c>
    </row>
    <row r="358" spans="1:39" x14ac:dyDescent="0.3">
      <c r="A358" t="s">
        <v>19</v>
      </c>
      <c r="B358" t="s">
        <v>148</v>
      </c>
      <c r="C358" t="s">
        <v>128</v>
      </c>
      <c r="D358" t="s">
        <v>64</v>
      </c>
      <c r="E358" t="s">
        <v>387</v>
      </c>
      <c r="F358" t="s">
        <v>386</v>
      </c>
      <c r="AD358">
        <v>34015.730000000003</v>
      </c>
      <c r="AE358">
        <v>68031.47</v>
      </c>
      <c r="AG358">
        <v>11338.58</v>
      </c>
      <c r="AH358">
        <v>79370.039999999994</v>
      </c>
      <c r="AI358">
        <v>79370.039999999994</v>
      </c>
      <c r="AJ358">
        <v>68031.47</v>
      </c>
    </row>
    <row r="359" spans="1:39" x14ac:dyDescent="0.3">
      <c r="A359" t="s">
        <v>19</v>
      </c>
      <c r="B359" t="s">
        <v>151</v>
      </c>
      <c r="C359" t="s">
        <v>128</v>
      </c>
      <c r="D359" t="s">
        <v>35</v>
      </c>
      <c r="E359" t="s">
        <v>387</v>
      </c>
      <c r="F359" t="s">
        <v>384</v>
      </c>
      <c r="R359">
        <v>371608.62</v>
      </c>
      <c r="S359">
        <v>433543.38</v>
      </c>
      <c r="T359">
        <v>433543.38</v>
      </c>
      <c r="U359">
        <v>309673.84999999998</v>
      </c>
      <c r="W359">
        <v>61934.77</v>
      </c>
      <c r="X359">
        <v>433543.38</v>
      </c>
      <c r="Y359">
        <v>433543.38</v>
      </c>
      <c r="Z359">
        <v>433543.38</v>
      </c>
      <c r="AA359">
        <v>433543.38</v>
      </c>
      <c r="AB359">
        <v>433543.38</v>
      </c>
      <c r="AC359">
        <v>433543.38</v>
      </c>
      <c r="AD359">
        <v>433543.38</v>
      </c>
      <c r="AE359">
        <v>371608.62</v>
      </c>
      <c r="AG359">
        <v>61934.77</v>
      </c>
      <c r="AH359">
        <v>433543.38</v>
      </c>
      <c r="AI359">
        <v>433543.38</v>
      </c>
      <c r="AJ359">
        <v>433543.38</v>
      </c>
      <c r="AK359">
        <v>433543.38</v>
      </c>
      <c r="AL359">
        <v>433543.38</v>
      </c>
      <c r="AM359">
        <v>185804.31</v>
      </c>
    </row>
    <row r="360" spans="1:39" x14ac:dyDescent="0.3">
      <c r="A360" t="s">
        <v>19</v>
      </c>
      <c r="B360" t="s">
        <v>151</v>
      </c>
      <c r="C360" t="s">
        <v>128</v>
      </c>
      <c r="D360" t="s">
        <v>35</v>
      </c>
      <c r="E360" t="s">
        <v>387</v>
      </c>
      <c r="F360" t="s">
        <v>385</v>
      </c>
    </row>
    <row r="361" spans="1:39" x14ac:dyDescent="0.3">
      <c r="A361" t="s">
        <v>19</v>
      </c>
      <c r="B361" t="s">
        <v>151</v>
      </c>
      <c r="C361" t="s">
        <v>128</v>
      </c>
      <c r="D361" t="s">
        <v>35</v>
      </c>
      <c r="E361" t="s">
        <v>387</v>
      </c>
      <c r="F361" t="s">
        <v>386</v>
      </c>
      <c r="R361">
        <v>371608.62</v>
      </c>
      <c r="S361">
        <v>433543.38</v>
      </c>
      <c r="T361">
        <v>433543.38</v>
      </c>
      <c r="U361">
        <v>309673.84999999998</v>
      </c>
      <c r="W361">
        <v>61934.77</v>
      </c>
      <c r="X361">
        <v>433543.38</v>
      </c>
      <c r="Y361">
        <v>433543.38</v>
      </c>
      <c r="Z361">
        <v>433543.38</v>
      </c>
      <c r="AA361">
        <v>433543.38</v>
      </c>
      <c r="AB361">
        <v>433543.38</v>
      </c>
      <c r="AC361">
        <v>433543.38</v>
      </c>
      <c r="AD361">
        <v>433543.38</v>
      </c>
      <c r="AE361">
        <v>371608.62</v>
      </c>
      <c r="AG361">
        <v>61934.77</v>
      </c>
      <c r="AH361">
        <v>433543.38</v>
      </c>
      <c r="AI361">
        <v>433543.38</v>
      </c>
      <c r="AJ361">
        <v>433543.38</v>
      </c>
      <c r="AK361">
        <v>433543.38</v>
      </c>
      <c r="AL361">
        <v>433543.38</v>
      </c>
      <c r="AM361">
        <v>185804.31</v>
      </c>
    </row>
    <row r="362" spans="1:39" x14ac:dyDescent="0.3">
      <c r="A362" t="s">
        <v>19</v>
      </c>
      <c r="B362" t="s">
        <v>155</v>
      </c>
      <c r="C362" t="s">
        <v>128</v>
      </c>
      <c r="D362" t="s">
        <v>35</v>
      </c>
      <c r="E362" t="s">
        <v>387</v>
      </c>
      <c r="F362" t="s">
        <v>384</v>
      </c>
      <c r="U362">
        <v>94177.01</v>
      </c>
      <c r="W362">
        <v>31392.34</v>
      </c>
      <c r="X362">
        <v>219746.35</v>
      </c>
      <c r="Y362">
        <v>219746.35</v>
      </c>
      <c r="Z362">
        <v>219746.35</v>
      </c>
      <c r="AA362">
        <v>219746.35</v>
      </c>
      <c r="AB362">
        <v>219746.35</v>
      </c>
      <c r="AC362">
        <v>219746.35</v>
      </c>
      <c r="AD362">
        <v>219746.35</v>
      </c>
      <c r="AE362">
        <v>188354.01</v>
      </c>
      <c r="AG362">
        <v>31392.34</v>
      </c>
      <c r="AH362">
        <v>219746.35</v>
      </c>
      <c r="AI362">
        <v>219746.35</v>
      </c>
      <c r="AJ362">
        <v>219746.35</v>
      </c>
      <c r="AK362">
        <v>219746.35</v>
      </c>
      <c r="AL362">
        <v>62784.67</v>
      </c>
    </row>
    <row r="363" spans="1:39" x14ac:dyDescent="0.3">
      <c r="A363" t="s">
        <v>19</v>
      </c>
      <c r="B363" t="s">
        <v>155</v>
      </c>
      <c r="C363" t="s">
        <v>128</v>
      </c>
      <c r="D363" t="s">
        <v>35</v>
      </c>
      <c r="E363" t="s">
        <v>387</v>
      </c>
      <c r="F363" t="s">
        <v>385</v>
      </c>
    </row>
    <row r="364" spans="1:39" x14ac:dyDescent="0.3">
      <c r="A364" t="s">
        <v>19</v>
      </c>
      <c r="B364" t="s">
        <v>155</v>
      </c>
      <c r="C364" t="s">
        <v>128</v>
      </c>
      <c r="D364" t="s">
        <v>35</v>
      </c>
      <c r="E364" t="s">
        <v>387</v>
      </c>
      <c r="F364" t="s">
        <v>386</v>
      </c>
      <c r="U364">
        <v>94177.01</v>
      </c>
      <c r="W364">
        <v>31392.34</v>
      </c>
      <c r="X364">
        <v>219746.35</v>
      </c>
      <c r="Y364">
        <v>219746.35</v>
      </c>
      <c r="Z364">
        <v>219746.35</v>
      </c>
      <c r="AA364">
        <v>219746.35</v>
      </c>
      <c r="AB364">
        <v>219746.35</v>
      </c>
      <c r="AC364">
        <v>219746.35</v>
      </c>
      <c r="AD364">
        <v>219746.35</v>
      </c>
      <c r="AE364">
        <v>188354.01</v>
      </c>
      <c r="AG364">
        <v>31392.34</v>
      </c>
      <c r="AH364">
        <v>219746.35</v>
      </c>
      <c r="AI364">
        <v>219746.35</v>
      </c>
      <c r="AJ364">
        <v>219746.35</v>
      </c>
      <c r="AK364">
        <v>219746.35</v>
      </c>
      <c r="AL364">
        <v>62784.67</v>
      </c>
    </row>
    <row r="365" spans="1:39" x14ac:dyDescent="0.3">
      <c r="A365" t="s">
        <v>19</v>
      </c>
      <c r="B365" t="s">
        <v>158</v>
      </c>
      <c r="C365" t="s">
        <v>161</v>
      </c>
      <c r="D365" t="s">
        <v>40</v>
      </c>
      <c r="E365" t="s">
        <v>387</v>
      </c>
      <c r="F365" t="s">
        <v>384</v>
      </c>
      <c r="J365">
        <v>226741.32</v>
      </c>
      <c r="K365">
        <v>317437.84999999998</v>
      </c>
      <c r="L365">
        <v>317437.84999999998</v>
      </c>
      <c r="M365">
        <v>45348.26</v>
      </c>
    </row>
    <row r="366" spans="1:39" x14ac:dyDescent="0.3">
      <c r="A366" t="s">
        <v>19</v>
      </c>
      <c r="B366" t="s">
        <v>158</v>
      </c>
      <c r="C366" t="s">
        <v>161</v>
      </c>
      <c r="D366" t="s">
        <v>40</v>
      </c>
      <c r="E366" t="s">
        <v>387</v>
      </c>
      <c r="F366" t="s">
        <v>385</v>
      </c>
    </row>
    <row r="367" spans="1:39" x14ac:dyDescent="0.3">
      <c r="A367" t="s">
        <v>19</v>
      </c>
      <c r="B367" t="s">
        <v>158</v>
      </c>
      <c r="C367" t="s">
        <v>161</v>
      </c>
      <c r="D367" t="s">
        <v>40</v>
      </c>
      <c r="E367" t="s">
        <v>387</v>
      </c>
      <c r="F367" t="s">
        <v>386</v>
      </c>
      <c r="J367">
        <v>226741.32</v>
      </c>
      <c r="K367">
        <v>317437.84999999998</v>
      </c>
      <c r="L367">
        <v>317437.84999999998</v>
      </c>
      <c r="M367">
        <v>45348.26</v>
      </c>
    </row>
    <row r="368" spans="1:39" x14ac:dyDescent="0.3">
      <c r="A368" t="s">
        <v>19</v>
      </c>
      <c r="B368" t="s">
        <v>164</v>
      </c>
      <c r="C368" t="s">
        <v>161</v>
      </c>
      <c r="D368" t="s">
        <v>40</v>
      </c>
      <c r="E368" t="s">
        <v>387</v>
      </c>
      <c r="F368" t="s">
        <v>384</v>
      </c>
      <c r="U368">
        <v>164387.46</v>
      </c>
      <c r="W368">
        <v>82193.73</v>
      </c>
      <c r="X368">
        <v>575356.1</v>
      </c>
    </row>
    <row r="369" spans="1:38" x14ac:dyDescent="0.3">
      <c r="A369" t="s">
        <v>19</v>
      </c>
      <c r="B369" t="s">
        <v>164</v>
      </c>
      <c r="C369" t="s">
        <v>161</v>
      </c>
      <c r="D369" t="s">
        <v>40</v>
      </c>
      <c r="E369" t="s">
        <v>387</v>
      </c>
      <c r="F369" t="s">
        <v>385</v>
      </c>
    </row>
    <row r="370" spans="1:38" x14ac:dyDescent="0.3">
      <c r="A370" t="s">
        <v>19</v>
      </c>
      <c r="B370" t="s">
        <v>164</v>
      </c>
      <c r="C370" t="s">
        <v>161</v>
      </c>
      <c r="D370" t="s">
        <v>40</v>
      </c>
      <c r="E370" t="s">
        <v>387</v>
      </c>
      <c r="F370" t="s">
        <v>386</v>
      </c>
      <c r="U370">
        <v>164387.46</v>
      </c>
      <c r="W370">
        <v>82193.73</v>
      </c>
      <c r="X370">
        <v>575356.1</v>
      </c>
    </row>
    <row r="371" spans="1:38" x14ac:dyDescent="0.3">
      <c r="A371" t="s">
        <v>19</v>
      </c>
      <c r="B371" t="s">
        <v>167</v>
      </c>
      <c r="C371" t="s">
        <v>161</v>
      </c>
      <c r="D371" t="s">
        <v>40</v>
      </c>
      <c r="E371" t="s">
        <v>387</v>
      </c>
      <c r="F371" t="s">
        <v>384</v>
      </c>
      <c r="M371">
        <v>51016.800000000003</v>
      </c>
      <c r="N371">
        <v>59519.6</v>
      </c>
      <c r="O371">
        <v>25508.400000000001</v>
      </c>
    </row>
    <row r="372" spans="1:38" x14ac:dyDescent="0.3">
      <c r="A372" t="s">
        <v>19</v>
      </c>
      <c r="B372" t="s">
        <v>167</v>
      </c>
      <c r="C372" t="s">
        <v>161</v>
      </c>
      <c r="D372" t="s">
        <v>40</v>
      </c>
      <c r="E372" t="s">
        <v>387</v>
      </c>
      <c r="F372" t="s">
        <v>385</v>
      </c>
    </row>
    <row r="373" spans="1:38" x14ac:dyDescent="0.3">
      <c r="A373" t="s">
        <v>19</v>
      </c>
      <c r="B373" t="s">
        <v>167</v>
      </c>
      <c r="C373" t="s">
        <v>161</v>
      </c>
      <c r="D373" t="s">
        <v>40</v>
      </c>
      <c r="E373" t="s">
        <v>387</v>
      </c>
      <c r="F373" t="s">
        <v>386</v>
      </c>
      <c r="M373">
        <v>51016.800000000003</v>
      </c>
      <c r="N373">
        <v>59519.6</v>
      </c>
      <c r="O373">
        <v>25508.400000000001</v>
      </c>
    </row>
    <row r="374" spans="1:38" x14ac:dyDescent="0.3">
      <c r="A374" t="s">
        <v>19</v>
      </c>
      <c r="B374" t="s">
        <v>171</v>
      </c>
      <c r="C374" t="s">
        <v>161</v>
      </c>
      <c r="D374" t="s">
        <v>40</v>
      </c>
      <c r="E374" t="s">
        <v>387</v>
      </c>
      <c r="F374" t="s">
        <v>384</v>
      </c>
      <c r="O374">
        <v>269255.32</v>
      </c>
      <c r="P374">
        <v>471196.8</v>
      </c>
      <c r="Q374">
        <v>471196.8</v>
      </c>
      <c r="R374">
        <v>403882.98</v>
      </c>
    </row>
    <row r="375" spans="1:38" x14ac:dyDescent="0.3">
      <c r="A375" t="s">
        <v>19</v>
      </c>
      <c r="B375" t="s">
        <v>171</v>
      </c>
      <c r="C375" t="s">
        <v>161</v>
      </c>
      <c r="D375" t="s">
        <v>40</v>
      </c>
      <c r="E375" t="s">
        <v>387</v>
      </c>
      <c r="F375" t="s">
        <v>385</v>
      </c>
    </row>
    <row r="376" spans="1:38" x14ac:dyDescent="0.3">
      <c r="A376" t="s">
        <v>19</v>
      </c>
      <c r="B376" t="s">
        <v>171</v>
      </c>
      <c r="C376" t="s">
        <v>161</v>
      </c>
      <c r="D376" t="s">
        <v>40</v>
      </c>
      <c r="E376" t="s">
        <v>387</v>
      </c>
      <c r="F376" t="s">
        <v>386</v>
      </c>
      <c r="O376">
        <v>269255.32</v>
      </c>
      <c r="P376">
        <v>471196.8</v>
      </c>
      <c r="Q376">
        <v>471196.8</v>
      </c>
      <c r="R376">
        <v>403882.98</v>
      </c>
    </row>
    <row r="377" spans="1:38" x14ac:dyDescent="0.3">
      <c r="A377" t="s">
        <v>19</v>
      </c>
      <c r="B377" t="s">
        <v>175</v>
      </c>
      <c r="C377" t="s">
        <v>161</v>
      </c>
      <c r="D377" t="s">
        <v>40</v>
      </c>
      <c r="E377" t="s">
        <v>387</v>
      </c>
      <c r="F377" t="s">
        <v>384</v>
      </c>
      <c r="R377">
        <v>98738.76</v>
      </c>
      <c r="S377">
        <v>691171.31</v>
      </c>
      <c r="T377">
        <v>691171.31</v>
      </c>
      <c r="U377">
        <v>296216.28000000003</v>
      </c>
    </row>
    <row r="378" spans="1:38" x14ac:dyDescent="0.3">
      <c r="A378" t="s">
        <v>19</v>
      </c>
      <c r="B378" t="s">
        <v>175</v>
      </c>
      <c r="C378" t="s">
        <v>161</v>
      </c>
      <c r="D378" t="s">
        <v>40</v>
      </c>
      <c r="E378" t="s">
        <v>387</v>
      </c>
      <c r="F378" t="s">
        <v>385</v>
      </c>
    </row>
    <row r="379" spans="1:38" x14ac:dyDescent="0.3">
      <c r="A379" t="s">
        <v>19</v>
      </c>
      <c r="B379" t="s">
        <v>175</v>
      </c>
      <c r="C379" t="s">
        <v>161</v>
      </c>
      <c r="D379" t="s">
        <v>40</v>
      </c>
      <c r="E379" t="s">
        <v>387</v>
      </c>
      <c r="F379" t="s">
        <v>386</v>
      </c>
      <c r="R379">
        <v>98738.76</v>
      </c>
      <c r="S379">
        <v>691171.31</v>
      </c>
      <c r="T379">
        <v>691171.31</v>
      </c>
      <c r="U379">
        <v>296216.28000000003</v>
      </c>
    </row>
    <row r="380" spans="1:38" x14ac:dyDescent="0.3">
      <c r="A380" t="s">
        <v>19</v>
      </c>
      <c r="B380" t="s">
        <v>179</v>
      </c>
      <c r="C380" t="s">
        <v>161</v>
      </c>
      <c r="D380" t="s">
        <v>40</v>
      </c>
      <c r="E380" t="s">
        <v>387</v>
      </c>
      <c r="F380" t="s">
        <v>384</v>
      </c>
      <c r="AD380">
        <v>428180.37</v>
      </c>
      <c r="AE380">
        <v>642270.55000000005</v>
      </c>
      <c r="AG380">
        <v>107045.09</v>
      </c>
      <c r="AH380">
        <v>749315.64</v>
      </c>
      <c r="AI380">
        <v>428180.37</v>
      </c>
    </row>
    <row r="381" spans="1:38" x14ac:dyDescent="0.3">
      <c r="A381" t="s">
        <v>19</v>
      </c>
      <c r="B381" t="s">
        <v>179</v>
      </c>
      <c r="C381" t="s">
        <v>161</v>
      </c>
      <c r="D381" t="s">
        <v>40</v>
      </c>
      <c r="E381" t="s">
        <v>387</v>
      </c>
      <c r="F381" t="s">
        <v>385</v>
      </c>
    </row>
    <row r="382" spans="1:38" x14ac:dyDescent="0.3">
      <c r="A382" t="s">
        <v>19</v>
      </c>
      <c r="B382" t="s">
        <v>179</v>
      </c>
      <c r="C382" t="s">
        <v>161</v>
      </c>
      <c r="D382" t="s">
        <v>40</v>
      </c>
      <c r="E382" t="s">
        <v>387</v>
      </c>
      <c r="F382" t="s">
        <v>386</v>
      </c>
      <c r="AD382">
        <v>428180.37</v>
      </c>
      <c r="AE382">
        <v>642270.55000000005</v>
      </c>
      <c r="AG382">
        <v>107045.09</v>
      </c>
      <c r="AH382">
        <v>749315.64</v>
      </c>
      <c r="AI382">
        <v>428180.37</v>
      </c>
    </row>
    <row r="383" spans="1:38" x14ac:dyDescent="0.3">
      <c r="A383" t="s">
        <v>19</v>
      </c>
      <c r="B383" t="s">
        <v>183</v>
      </c>
      <c r="C383" t="s">
        <v>161</v>
      </c>
      <c r="D383" t="s">
        <v>40</v>
      </c>
      <c r="E383" t="s">
        <v>387</v>
      </c>
      <c r="F383" t="s">
        <v>384</v>
      </c>
      <c r="AI383">
        <v>109641.36</v>
      </c>
      <c r="AJ383">
        <v>255829.84</v>
      </c>
      <c r="AK383">
        <v>255829.84</v>
      </c>
      <c r="AL383">
        <v>73094.240000000005</v>
      </c>
    </row>
    <row r="384" spans="1:38" x14ac:dyDescent="0.3">
      <c r="A384" t="s">
        <v>19</v>
      </c>
      <c r="B384" t="s">
        <v>183</v>
      </c>
      <c r="C384" t="s">
        <v>161</v>
      </c>
      <c r="D384" t="s">
        <v>40</v>
      </c>
      <c r="E384" t="s">
        <v>387</v>
      </c>
      <c r="F384" t="s">
        <v>385</v>
      </c>
    </row>
    <row r="385" spans="1:45" x14ac:dyDescent="0.3">
      <c r="A385" t="s">
        <v>19</v>
      </c>
      <c r="B385" t="s">
        <v>183</v>
      </c>
      <c r="C385" t="s">
        <v>161</v>
      </c>
      <c r="D385" t="s">
        <v>40</v>
      </c>
      <c r="E385" t="s">
        <v>387</v>
      </c>
      <c r="F385" t="s">
        <v>386</v>
      </c>
      <c r="AI385">
        <v>109641.36</v>
      </c>
      <c r="AJ385">
        <v>255829.84</v>
      </c>
      <c r="AK385">
        <v>255829.84</v>
      </c>
      <c r="AL385">
        <v>73094.240000000005</v>
      </c>
    </row>
    <row r="386" spans="1:45" x14ac:dyDescent="0.3">
      <c r="A386" t="s">
        <v>19</v>
      </c>
      <c r="B386" t="s">
        <v>187</v>
      </c>
      <c r="C386" t="s">
        <v>161</v>
      </c>
      <c r="D386" t="s">
        <v>45</v>
      </c>
      <c r="E386" t="s">
        <v>387</v>
      </c>
      <c r="F386" t="s">
        <v>384</v>
      </c>
      <c r="Z386">
        <v>1618933.02</v>
      </c>
      <c r="AA386">
        <v>1888755.19</v>
      </c>
      <c r="AB386">
        <v>1888755.19</v>
      </c>
      <c r="AC386">
        <v>1888755.19</v>
      </c>
      <c r="AD386">
        <v>809466.51</v>
      </c>
    </row>
    <row r="387" spans="1:45" x14ac:dyDescent="0.3">
      <c r="A387" t="s">
        <v>19</v>
      </c>
      <c r="B387" t="s">
        <v>187</v>
      </c>
      <c r="C387" t="s">
        <v>161</v>
      </c>
      <c r="D387" t="s">
        <v>45</v>
      </c>
      <c r="E387" t="s">
        <v>387</v>
      </c>
      <c r="F387" t="s">
        <v>385</v>
      </c>
    </row>
    <row r="388" spans="1:45" x14ac:dyDescent="0.3">
      <c r="A388" t="s">
        <v>19</v>
      </c>
      <c r="B388" t="s">
        <v>187</v>
      </c>
      <c r="C388" t="s">
        <v>161</v>
      </c>
      <c r="D388" t="s">
        <v>45</v>
      </c>
      <c r="E388" t="s">
        <v>387</v>
      </c>
      <c r="F388" t="s">
        <v>386</v>
      </c>
      <c r="Z388">
        <v>1618933.02</v>
      </c>
      <c r="AA388">
        <v>1888755.19</v>
      </c>
      <c r="AB388">
        <v>1888755.19</v>
      </c>
      <c r="AC388">
        <v>1888755.19</v>
      </c>
      <c r="AD388">
        <v>809466.51</v>
      </c>
    </row>
    <row r="389" spans="1:45" x14ac:dyDescent="0.3">
      <c r="A389" t="s">
        <v>19</v>
      </c>
      <c r="B389" t="s">
        <v>191</v>
      </c>
      <c r="C389" t="s">
        <v>161</v>
      </c>
      <c r="D389" t="s">
        <v>31</v>
      </c>
      <c r="E389" t="s">
        <v>387</v>
      </c>
      <c r="F389" t="s">
        <v>384</v>
      </c>
      <c r="AL389">
        <v>1362663.28</v>
      </c>
      <c r="AM389">
        <v>1907728.59</v>
      </c>
      <c r="AN389">
        <v>1907728.59</v>
      </c>
      <c r="AO389">
        <v>817597.97</v>
      </c>
    </row>
    <row r="390" spans="1:45" x14ac:dyDescent="0.3">
      <c r="A390" t="s">
        <v>19</v>
      </c>
      <c r="B390" t="s">
        <v>191</v>
      </c>
      <c r="C390" t="s">
        <v>161</v>
      </c>
      <c r="D390" t="s">
        <v>31</v>
      </c>
      <c r="E390" t="s">
        <v>387</v>
      </c>
      <c r="F390" t="s">
        <v>385</v>
      </c>
    </row>
    <row r="391" spans="1:45" x14ac:dyDescent="0.3">
      <c r="A391" t="s">
        <v>19</v>
      </c>
      <c r="B391" t="s">
        <v>191</v>
      </c>
      <c r="C391" t="s">
        <v>161</v>
      </c>
      <c r="D391" t="s">
        <v>31</v>
      </c>
      <c r="E391" t="s">
        <v>387</v>
      </c>
      <c r="F391" t="s">
        <v>386</v>
      </c>
      <c r="AL391">
        <v>1362663.28</v>
      </c>
      <c r="AM391">
        <v>1907728.59</v>
      </c>
      <c r="AN391">
        <v>1907728.59</v>
      </c>
      <c r="AO391">
        <v>817597.97</v>
      </c>
    </row>
    <row r="392" spans="1:45" x14ac:dyDescent="0.3">
      <c r="A392" t="s">
        <v>19</v>
      </c>
      <c r="B392" t="s">
        <v>197</v>
      </c>
      <c r="C392" t="s">
        <v>161</v>
      </c>
      <c r="D392" t="s">
        <v>61</v>
      </c>
      <c r="E392" t="s">
        <v>387</v>
      </c>
      <c r="F392" t="s">
        <v>384</v>
      </c>
      <c r="AK392">
        <v>52922.18</v>
      </c>
      <c r="AL392">
        <v>15120.62</v>
      </c>
    </row>
    <row r="393" spans="1:45" x14ac:dyDescent="0.3">
      <c r="A393" t="s">
        <v>19</v>
      </c>
      <c r="B393" t="s">
        <v>197</v>
      </c>
      <c r="C393" t="s">
        <v>161</v>
      </c>
      <c r="D393" t="s">
        <v>61</v>
      </c>
      <c r="E393" t="s">
        <v>387</v>
      </c>
      <c r="F393" t="s">
        <v>385</v>
      </c>
    </row>
    <row r="394" spans="1:45" x14ac:dyDescent="0.3">
      <c r="A394" t="s">
        <v>19</v>
      </c>
      <c r="B394" t="s">
        <v>197</v>
      </c>
      <c r="C394" t="s">
        <v>161</v>
      </c>
      <c r="D394" t="s">
        <v>61</v>
      </c>
      <c r="E394" t="s">
        <v>387</v>
      </c>
      <c r="F394" t="s">
        <v>386</v>
      </c>
      <c r="AK394">
        <v>52922.18</v>
      </c>
      <c r="AL394">
        <v>15120.62</v>
      </c>
    </row>
    <row r="395" spans="1:45" x14ac:dyDescent="0.3">
      <c r="A395" t="s">
        <v>19</v>
      </c>
      <c r="B395" t="s">
        <v>202</v>
      </c>
      <c r="C395" t="s">
        <v>161</v>
      </c>
      <c r="D395" t="s">
        <v>64</v>
      </c>
      <c r="E395" t="s">
        <v>387</v>
      </c>
      <c r="F395" t="s">
        <v>384</v>
      </c>
      <c r="AL395">
        <v>22895.21</v>
      </c>
      <c r="AM395">
        <v>22895.21</v>
      </c>
    </row>
    <row r="396" spans="1:45" x14ac:dyDescent="0.3">
      <c r="A396" t="s">
        <v>19</v>
      </c>
      <c r="B396" t="s">
        <v>202</v>
      </c>
      <c r="C396" t="s">
        <v>161</v>
      </c>
      <c r="D396" t="s">
        <v>64</v>
      </c>
      <c r="E396" t="s">
        <v>387</v>
      </c>
      <c r="F396" t="s">
        <v>385</v>
      </c>
    </row>
    <row r="397" spans="1:45" x14ac:dyDescent="0.3">
      <c r="A397" t="s">
        <v>19</v>
      </c>
      <c r="B397" t="s">
        <v>202</v>
      </c>
      <c r="C397" t="s">
        <v>161</v>
      </c>
      <c r="D397" t="s">
        <v>64</v>
      </c>
      <c r="E397" t="s">
        <v>387</v>
      </c>
      <c r="F397" t="s">
        <v>386</v>
      </c>
      <c r="AL397">
        <v>22895.21</v>
      </c>
      <c r="AM397">
        <v>22895.21</v>
      </c>
    </row>
    <row r="398" spans="1:45" x14ac:dyDescent="0.3">
      <c r="A398" t="s">
        <v>19</v>
      </c>
      <c r="B398" t="s">
        <v>205</v>
      </c>
      <c r="C398" t="s">
        <v>161</v>
      </c>
      <c r="D398" t="s">
        <v>35</v>
      </c>
      <c r="E398" t="s">
        <v>387</v>
      </c>
      <c r="F398" t="s">
        <v>384</v>
      </c>
      <c r="AO398">
        <v>197259.28</v>
      </c>
      <c r="AP398">
        <v>345203.74</v>
      </c>
      <c r="AQ398">
        <v>345203.74</v>
      </c>
      <c r="AR398">
        <v>345203.74</v>
      </c>
      <c r="AS398">
        <v>147944.46</v>
      </c>
    </row>
    <row r="399" spans="1:45" x14ac:dyDescent="0.3">
      <c r="A399" t="s">
        <v>19</v>
      </c>
      <c r="B399" t="s">
        <v>205</v>
      </c>
      <c r="C399" t="s">
        <v>161</v>
      </c>
      <c r="D399" t="s">
        <v>35</v>
      </c>
      <c r="E399" t="s">
        <v>387</v>
      </c>
      <c r="F399" t="s">
        <v>385</v>
      </c>
    </row>
    <row r="400" spans="1:45" x14ac:dyDescent="0.3">
      <c r="A400" t="s">
        <v>19</v>
      </c>
      <c r="B400" t="s">
        <v>205</v>
      </c>
      <c r="C400" t="s">
        <v>161</v>
      </c>
      <c r="D400" t="s">
        <v>35</v>
      </c>
      <c r="E400" t="s">
        <v>387</v>
      </c>
      <c r="F400" t="s">
        <v>386</v>
      </c>
      <c r="AO400">
        <v>197259.28</v>
      </c>
      <c r="AP400">
        <v>345203.74</v>
      </c>
      <c r="AQ400">
        <v>345203.74</v>
      </c>
      <c r="AR400">
        <v>345203.74</v>
      </c>
      <c r="AS400">
        <v>147944.46</v>
      </c>
    </row>
    <row r="401" spans="1:39" x14ac:dyDescent="0.3">
      <c r="A401" t="s">
        <v>19</v>
      </c>
      <c r="B401" t="s">
        <v>212</v>
      </c>
      <c r="C401" t="s">
        <v>161</v>
      </c>
      <c r="D401" t="s">
        <v>40</v>
      </c>
      <c r="E401" t="s">
        <v>387</v>
      </c>
      <c r="F401" t="s">
        <v>384</v>
      </c>
      <c r="M401">
        <v>272089.58</v>
      </c>
      <c r="N401">
        <v>317437.84999999998</v>
      </c>
      <c r="O401">
        <v>317437.84999999998</v>
      </c>
    </row>
    <row r="402" spans="1:39" x14ac:dyDescent="0.3">
      <c r="A402" t="s">
        <v>19</v>
      </c>
      <c r="B402" t="s">
        <v>212</v>
      </c>
      <c r="C402" t="s">
        <v>161</v>
      </c>
      <c r="D402" t="s">
        <v>40</v>
      </c>
      <c r="E402" t="s">
        <v>387</v>
      </c>
      <c r="F402" t="s">
        <v>385</v>
      </c>
    </row>
    <row r="403" spans="1:39" x14ac:dyDescent="0.3">
      <c r="A403" t="s">
        <v>19</v>
      </c>
      <c r="B403" t="s">
        <v>212</v>
      </c>
      <c r="C403" t="s">
        <v>161</v>
      </c>
      <c r="D403" t="s">
        <v>40</v>
      </c>
      <c r="E403" t="s">
        <v>387</v>
      </c>
      <c r="F403" t="s">
        <v>386</v>
      </c>
      <c r="M403">
        <v>272089.58</v>
      </c>
      <c r="N403">
        <v>317437.84999999998</v>
      </c>
      <c r="O403">
        <v>317437.84999999998</v>
      </c>
    </row>
    <row r="404" spans="1:39" x14ac:dyDescent="0.3">
      <c r="A404" t="s">
        <v>19</v>
      </c>
      <c r="B404" t="s">
        <v>215</v>
      </c>
      <c r="C404" t="s">
        <v>161</v>
      </c>
      <c r="D404" t="s">
        <v>40</v>
      </c>
      <c r="E404" t="s">
        <v>387</v>
      </c>
      <c r="F404" t="s">
        <v>384</v>
      </c>
      <c r="AA404">
        <v>575356.1</v>
      </c>
      <c r="AB404">
        <v>246581.18</v>
      </c>
    </row>
    <row r="405" spans="1:39" x14ac:dyDescent="0.3">
      <c r="A405" t="s">
        <v>19</v>
      </c>
      <c r="B405" t="s">
        <v>215</v>
      </c>
      <c r="C405" t="s">
        <v>161</v>
      </c>
      <c r="D405" t="s">
        <v>40</v>
      </c>
      <c r="E405" t="s">
        <v>387</v>
      </c>
      <c r="F405" t="s">
        <v>385</v>
      </c>
    </row>
    <row r="406" spans="1:39" x14ac:dyDescent="0.3">
      <c r="A406" t="s">
        <v>19</v>
      </c>
      <c r="B406" t="s">
        <v>215</v>
      </c>
      <c r="C406" t="s">
        <v>161</v>
      </c>
      <c r="D406" t="s">
        <v>40</v>
      </c>
      <c r="E406" t="s">
        <v>387</v>
      </c>
      <c r="F406" t="s">
        <v>386</v>
      </c>
      <c r="AA406">
        <v>575356.1</v>
      </c>
      <c r="AB406">
        <v>246581.18</v>
      </c>
    </row>
    <row r="407" spans="1:39" x14ac:dyDescent="0.3">
      <c r="A407" t="s">
        <v>19</v>
      </c>
      <c r="B407" t="s">
        <v>217</v>
      </c>
      <c r="C407" t="s">
        <v>161</v>
      </c>
      <c r="D407" t="s">
        <v>40</v>
      </c>
      <c r="E407" t="s">
        <v>387</v>
      </c>
      <c r="F407" t="s">
        <v>384</v>
      </c>
      <c r="P407">
        <v>59519.6</v>
      </c>
      <c r="Q407">
        <v>59519.6</v>
      </c>
      <c r="R407">
        <v>17005.599999999999</v>
      </c>
    </row>
    <row r="408" spans="1:39" x14ac:dyDescent="0.3">
      <c r="A408" t="s">
        <v>19</v>
      </c>
      <c r="B408" t="s">
        <v>217</v>
      </c>
      <c r="C408" t="s">
        <v>161</v>
      </c>
      <c r="D408" t="s">
        <v>40</v>
      </c>
      <c r="E408" t="s">
        <v>387</v>
      </c>
      <c r="F408" t="s">
        <v>385</v>
      </c>
    </row>
    <row r="409" spans="1:39" x14ac:dyDescent="0.3">
      <c r="A409" t="s">
        <v>19</v>
      </c>
      <c r="B409" t="s">
        <v>217</v>
      </c>
      <c r="C409" t="s">
        <v>161</v>
      </c>
      <c r="D409" t="s">
        <v>40</v>
      </c>
      <c r="E409" t="s">
        <v>387</v>
      </c>
      <c r="F409" t="s">
        <v>386</v>
      </c>
      <c r="P409">
        <v>59519.6</v>
      </c>
      <c r="Q409">
        <v>59519.6</v>
      </c>
      <c r="R409">
        <v>17005.599999999999</v>
      </c>
    </row>
    <row r="410" spans="1:39" x14ac:dyDescent="0.3">
      <c r="A410" t="s">
        <v>19</v>
      </c>
      <c r="B410" t="s">
        <v>219</v>
      </c>
      <c r="C410" t="s">
        <v>161</v>
      </c>
      <c r="D410" t="s">
        <v>40</v>
      </c>
      <c r="E410" t="s">
        <v>387</v>
      </c>
      <c r="F410" t="s">
        <v>384</v>
      </c>
      <c r="R410">
        <v>67313.83</v>
      </c>
      <c r="S410">
        <v>471196.8</v>
      </c>
      <c r="T410">
        <v>471196.8</v>
      </c>
      <c r="U410">
        <v>336569.15</v>
      </c>
      <c r="W410">
        <v>67313.83</v>
      </c>
      <c r="X410">
        <v>201941.49</v>
      </c>
    </row>
    <row r="411" spans="1:39" x14ac:dyDescent="0.3">
      <c r="A411" t="s">
        <v>19</v>
      </c>
      <c r="B411" t="s">
        <v>219</v>
      </c>
      <c r="C411" t="s">
        <v>161</v>
      </c>
      <c r="D411" t="s">
        <v>40</v>
      </c>
      <c r="E411" t="s">
        <v>387</v>
      </c>
      <c r="F411" t="s">
        <v>385</v>
      </c>
    </row>
    <row r="412" spans="1:39" x14ac:dyDescent="0.3">
      <c r="A412" t="s">
        <v>19</v>
      </c>
      <c r="B412" t="s">
        <v>219</v>
      </c>
      <c r="C412" t="s">
        <v>161</v>
      </c>
      <c r="D412" t="s">
        <v>40</v>
      </c>
      <c r="E412" t="s">
        <v>387</v>
      </c>
      <c r="F412" t="s">
        <v>386</v>
      </c>
      <c r="R412">
        <v>67313.83</v>
      </c>
      <c r="S412">
        <v>471196.8</v>
      </c>
      <c r="T412">
        <v>471196.8</v>
      </c>
      <c r="U412">
        <v>336569.15</v>
      </c>
      <c r="W412">
        <v>67313.83</v>
      </c>
      <c r="X412">
        <v>201941.49</v>
      </c>
    </row>
    <row r="413" spans="1:39" x14ac:dyDescent="0.3">
      <c r="A413" t="s">
        <v>19</v>
      </c>
      <c r="B413" t="s">
        <v>221</v>
      </c>
      <c r="C413" t="s">
        <v>161</v>
      </c>
      <c r="D413" t="s">
        <v>40</v>
      </c>
      <c r="E413" t="s">
        <v>387</v>
      </c>
      <c r="F413" t="s">
        <v>384</v>
      </c>
      <c r="X413">
        <v>394955.04</v>
      </c>
      <c r="Y413">
        <v>691171.31</v>
      </c>
      <c r="Z413">
        <v>691171.31</v>
      </c>
    </row>
    <row r="414" spans="1:39" x14ac:dyDescent="0.3">
      <c r="A414" t="s">
        <v>19</v>
      </c>
      <c r="B414" t="s">
        <v>221</v>
      </c>
      <c r="C414" t="s">
        <v>161</v>
      </c>
      <c r="D414" t="s">
        <v>40</v>
      </c>
      <c r="E414" t="s">
        <v>387</v>
      </c>
      <c r="F414" t="s">
        <v>385</v>
      </c>
    </row>
    <row r="415" spans="1:39" x14ac:dyDescent="0.3">
      <c r="A415" t="s">
        <v>19</v>
      </c>
      <c r="B415" t="s">
        <v>221</v>
      </c>
      <c r="C415" t="s">
        <v>161</v>
      </c>
      <c r="D415" t="s">
        <v>40</v>
      </c>
      <c r="E415" t="s">
        <v>387</v>
      </c>
      <c r="F415" t="s">
        <v>386</v>
      </c>
      <c r="X415">
        <v>394955.04</v>
      </c>
      <c r="Y415">
        <v>691171.31</v>
      </c>
      <c r="Z415">
        <v>691171.31</v>
      </c>
    </row>
    <row r="416" spans="1:39" x14ac:dyDescent="0.3">
      <c r="A416" t="s">
        <v>19</v>
      </c>
      <c r="B416" t="s">
        <v>223</v>
      </c>
      <c r="C416" t="s">
        <v>161</v>
      </c>
      <c r="D416" t="s">
        <v>40</v>
      </c>
      <c r="E416" t="s">
        <v>387</v>
      </c>
      <c r="F416" t="s">
        <v>384</v>
      </c>
      <c r="AJ416">
        <v>214090.18</v>
      </c>
      <c r="AK416">
        <v>749315.64</v>
      </c>
      <c r="AL416">
        <v>749315.64</v>
      </c>
      <c r="AM416">
        <v>642270.55000000005</v>
      </c>
    </row>
    <row r="417" spans="1:45" x14ac:dyDescent="0.3">
      <c r="A417" t="s">
        <v>19</v>
      </c>
      <c r="B417" t="s">
        <v>223</v>
      </c>
      <c r="C417" t="s">
        <v>161</v>
      </c>
      <c r="D417" t="s">
        <v>40</v>
      </c>
      <c r="E417" t="s">
        <v>387</v>
      </c>
      <c r="F417" t="s">
        <v>385</v>
      </c>
    </row>
    <row r="418" spans="1:45" x14ac:dyDescent="0.3">
      <c r="A418" t="s">
        <v>19</v>
      </c>
      <c r="B418" t="s">
        <v>223</v>
      </c>
      <c r="C418" t="s">
        <v>161</v>
      </c>
      <c r="D418" t="s">
        <v>40</v>
      </c>
      <c r="E418" t="s">
        <v>387</v>
      </c>
      <c r="F418" t="s">
        <v>386</v>
      </c>
      <c r="AJ418">
        <v>214090.18</v>
      </c>
      <c r="AK418">
        <v>749315.64</v>
      </c>
      <c r="AL418">
        <v>749315.64</v>
      </c>
      <c r="AM418">
        <v>642270.55000000005</v>
      </c>
    </row>
    <row r="419" spans="1:45" x14ac:dyDescent="0.3">
      <c r="A419" t="s">
        <v>19</v>
      </c>
      <c r="B419" t="s">
        <v>225</v>
      </c>
      <c r="C419" t="s">
        <v>161</v>
      </c>
      <c r="D419" t="s">
        <v>40</v>
      </c>
      <c r="E419" t="s">
        <v>387</v>
      </c>
      <c r="F419" t="s">
        <v>384</v>
      </c>
      <c r="AM419">
        <v>36547.120000000003</v>
      </c>
      <c r="AN419">
        <v>255829.84</v>
      </c>
      <c r="AO419">
        <v>255829.84</v>
      </c>
      <c r="AP419">
        <v>146188.48000000001</v>
      </c>
    </row>
    <row r="420" spans="1:45" x14ac:dyDescent="0.3">
      <c r="A420" t="s">
        <v>19</v>
      </c>
      <c r="B420" t="s">
        <v>225</v>
      </c>
      <c r="C420" t="s">
        <v>161</v>
      </c>
      <c r="D420" t="s">
        <v>40</v>
      </c>
      <c r="E420" t="s">
        <v>387</v>
      </c>
      <c r="F420" t="s">
        <v>385</v>
      </c>
    </row>
    <row r="421" spans="1:45" x14ac:dyDescent="0.3">
      <c r="A421" t="s">
        <v>19</v>
      </c>
      <c r="B421" t="s">
        <v>225</v>
      </c>
      <c r="C421" t="s">
        <v>161</v>
      </c>
      <c r="D421" t="s">
        <v>40</v>
      </c>
      <c r="E421" t="s">
        <v>387</v>
      </c>
      <c r="F421" t="s">
        <v>386</v>
      </c>
      <c r="AM421">
        <v>36547.120000000003</v>
      </c>
      <c r="AN421">
        <v>255829.84</v>
      </c>
      <c r="AO421">
        <v>255829.84</v>
      </c>
      <c r="AP421">
        <v>146188.48000000001</v>
      </c>
    </row>
    <row r="422" spans="1:45" x14ac:dyDescent="0.3">
      <c r="A422" t="s">
        <v>19</v>
      </c>
      <c r="B422" t="s">
        <v>229</v>
      </c>
      <c r="C422" t="s">
        <v>161</v>
      </c>
      <c r="D422" t="s">
        <v>45</v>
      </c>
      <c r="E422" t="s">
        <v>387</v>
      </c>
      <c r="F422" t="s">
        <v>384</v>
      </c>
      <c r="AD422">
        <v>1079288.68</v>
      </c>
      <c r="AE422">
        <v>1618933.02</v>
      </c>
      <c r="AG422">
        <v>269822.17</v>
      </c>
      <c r="AH422">
        <v>1888755.19</v>
      </c>
      <c r="AI422">
        <v>1888755.19</v>
      </c>
      <c r="AJ422">
        <v>1349110.85</v>
      </c>
    </row>
    <row r="423" spans="1:45" x14ac:dyDescent="0.3">
      <c r="A423" t="s">
        <v>19</v>
      </c>
      <c r="B423" t="s">
        <v>229</v>
      </c>
      <c r="C423" t="s">
        <v>161</v>
      </c>
      <c r="D423" t="s">
        <v>45</v>
      </c>
      <c r="E423" t="s">
        <v>387</v>
      </c>
      <c r="F423" t="s">
        <v>385</v>
      </c>
    </row>
    <row r="424" spans="1:45" x14ac:dyDescent="0.3">
      <c r="A424" t="s">
        <v>19</v>
      </c>
      <c r="B424" t="s">
        <v>229</v>
      </c>
      <c r="C424" t="s">
        <v>161</v>
      </c>
      <c r="D424" t="s">
        <v>45</v>
      </c>
      <c r="E424" t="s">
        <v>387</v>
      </c>
      <c r="F424" t="s">
        <v>386</v>
      </c>
      <c r="AD424">
        <v>1079288.68</v>
      </c>
      <c r="AE424">
        <v>1618933.02</v>
      </c>
      <c r="AG424">
        <v>269822.17</v>
      </c>
      <c r="AH424">
        <v>1888755.19</v>
      </c>
      <c r="AI424">
        <v>1888755.19</v>
      </c>
      <c r="AJ424">
        <v>1349110.85</v>
      </c>
    </row>
    <row r="425" spans="1:45" x14ac:dyDescent="0.3">
      <c r="A425" t="s">
        <v>19</v>
      </c>
      <c r="B425" t="s">
        <v>232</v>
      </c>
      <c r="C425" t="s">
        <v>161</v>
      </c>
      <c r="D425" t="s">
        <v>31</v>
      </c>
      <c r="E425" t="s">
        <v>387</v>
      </c>
      <c r="F425" t="s">
        <v>384</v>
      </c>
      <c r="AP425">
        <v>817597.97</v>
      </c>
      <c r="AQ425">
        <v>1907728.59</v>
      </c>
      <c r="AR425">
        <v>1907728.59</v>
      </c>
      <c r="AS425">
        <v>1362663.28</v>
      </c>
    </row>
    <row r="426" spans="1:45" x14ac:dyDescent="0.3">
      <c r="A426" t="s">
        <v>19</v>
      </c>
      <c r="B426" t="s">
        <v>232</v>
      </c>
      <c r="C426" t="s">
        <v>161</v>
      </c>
      <c r="D426" t="s">
        <v>31</v>
      </c>
      <c r="E426" t="s">
        <v>387</v>
      </c>
      <c r="F426" t="s">
        <v>385</v>
      </c>
    </row>
    <row r="427" spans="1:45" x14ac:dyDescent="0.3">
      <c r="A427" t="s">
        <v>19</v>
      </c>
      <c r="B427" t="s">
        <v>232</v>
      </c>
      <c r="C427" t="s">
        <v>161</v>
      </c>
      <c r="D427" t="s">
        <v>31</v>
      </c>
      <c r="E427" t="s">
        <v>387</v>
      </c>
      <c r="F427" t="s">
        <v>386</v>
      </c>
      <c r="AP427">
        <v>817597.97</v>
      </c>
      <c r="AQ427">
        <v>1907728.59</v>
      </c>
      <c r="AR427">
        <v>1907728.59</v>
      </c>
      <c r="AS427">
        <v>1362663.28</v>
      </c>
    </row>
    <row r="428" spans="1:45" x14ac:dyDescent="0.3">
      <c r="A428" t="s">
        <v>19</v>
      </c>
      <c r="B428" t="s">
        <v>235</v>
      </c>
      <c r="C428" t="s">
        <v>161</v>
      </c>
      <c r="D428" t="s">
        <v>61</v>
      </c>
      <c r="E428" t="s">
        <v>387</v>
      </c>
      <c r="F428" t="s">
        <v>384</v>
      </c>
      <c r="AO428">
        <v>37801.56</v>
      </c>
      <c r="AP428">
        <v>30241.24</v>
      </c>
    </row>
    <row r="429" spans="1:45" x14ac:dyDescent="0.3">
      <c r="A429" t="s">
        <v>19</v>
      </c>
      <c r="B429" t="s">
        <v>235</v>
      </c>
      <c r="C429" t="s">
        <v>161</v>
      </c>
      <c r="D429" t="s">
        <v>61</v>
      </c>
      <c r="E429" t="s">
        <v>387</v>
      </c>
      <c r="F429" t="s">
        <v>385</v>
      </c>
    </row>
    <row r="430" spans="1:45" x14ac:dyDescent="0.3">
      <c r="A430" t="s">
        <v>19</v>
      </c>
      <c r="B430" t="s">
        <v>235</v>
      </c>
      <c r="C430" t="s">
        <v>161</v>
      </c>
      <c r="D430" t="s">
        <v>61</v>
      </c>
      <c r="E430" t="s">
        <v>387</v>
      </c>
      <c r="F430" t="s">
        <v>386</v>
      </c>
      <c r="AO430">
        <v>37801.56</v>
      </c>
      <c r="AP430">
        <v>30241.24</v>
      </c>
    </row>
    <row r="431" spans="1:45" x14ac:dyDescent="0.3">
      <c r="A431" t="s">
        <v>19</v>
      </c>
      <c r="B431" t="s">
        <v>240</v>
      </c>
      <c r="C431" t="s">
        <v>161</v>
      </c>
      <c r="D431" t="s">
        <v>64</v>
      </c>
      <c r="E431" t="s">
        <v>387</v>
      </c>
      <c r="F431" t="s">
        <v>384</v>
      </c>
      <c r="AP431">
        <v>13737.12</v>
      </c>
      <c r="AQ431">
        <v>32053.29</v>
      </c>
    </row>
    <row r="432" spans="1:45" x14ac:dyDescent="0.3">
      <c r="A432" t="s">
        <v>19</v>
      </c>
      <c r="B432" t="s">
        <v>240</v>
      </c>
      <c r="C432" t="s">
        <v>161</v>
      </c>
      <c r="D432" t="s">
        <v>64</v>
      </c>
      <c r="E432" t="s">
        <v>387</v>
      </c>
      <c r="F432" t="s">
        <v>385</v>
      </c>
    </row>
    <row r="433" spans="1:49" x14ac:dyDescent="0.3">
      <c r="A433" t="s">
        <v>19</v>
      </c>
      <c r="B433" t="s">
        <v>240</v>
      </c>
      <c r="C433" t="s">
        <v>161</v>
      </c>
      <c r="D433" t="s">
        <v>64</v>
      </c>
      <c r="E433" t="s">
        <v>387</v>
      </c>
      <c r="F433" t="s">
        <v>386</v>
      </c>
      <c r="AP433">
        <v>13737.12</v>
      </c>
      <c r="AQ433">
        <v>32053.29</v>
      </c>
    </row>
    <row r="434" spans="1:49" x14ac:dyDescent="0.3">
      <c r="A434" t="s">
        <v>19</v>
      </c>
      <c r="B434" t="s">
        <v>242</v>
      </c>
      <c r="C434" t="s">
        <v>161</v>
      </c>
      <c r="D434" t="s">
        <v>35</v>
      </c>
      <c r="E434" t="s">
        <v>387</v>
      </c>
      <c r="F434" t="s">
        <v>384</v>
      </c>
      <c r="AS434">
        <v>98629.64</v>
      </c>
      <c r="AT434">
        <v>345203.74</v>
      </c>
      <c r="AU434">
        <v>345203.74</v>
      </c>
      <c r="AV434">
        <v>345203.74</v>
      </c>
      <c r="AW434">
        <v>246574.1</v>
      </c>
    </row>
    <row r="435" spans="1:49" x14ac:dyDescent="0.3">
      <c r="A435" t="s">
        <v>19</v>
      </c>
      <c r="B435" t="s">
        <v>242</v>
      </c>
      <c r="C435" t="s">
        <v>161</v>
      </c>
      <c r="D435" t="s">
        <v>35</v>
      </c>
      <c r="E435" t="s">
        <v>387</v>
      </c>
      <c r="F435" t="s">
        <v>385</v>
      </c>
    </row>
    <row r="436" spans="1:49" x14ac:dyDescent="0.3">
      <c r="A436" t="s">
        <v>19</v>
      </c>
      <c r="B436" t="s">
        <v>242</v>
      </c>
      <c r="C436" t="s">
        <v>161</v>
      </c>
      <c r="D436" t="s">
        <v>35</v>
      </c>
      <c r="E436" t="s">
        <v>387</v>
      </c>
      <c r="F436" t="s">
        <v>386</v>
      </c>
      <c r="AS436">
        <v>98629.64</v>
      </c>
      <c r="AT436">
        <v>345203.74</v>
      </c>
      <c r="AU436">
        <v>345203.74</v>
      </c>
      <c r="AV436">
        <v>345203.74</v>
      </c>
      <c r="AW436">
        <v>246574.1</v>
      </c>
    </row>
    <row r="437" spans="1:49" x14ac:dyDescent="0.3">
      <c r="A437" t="s">
        <v>19</v>
      </c>
      <c r="B437" t="s">
        <v>245</v>
      </c>
      <c r="C437" t="s">
        <v>161</v>
      </c>
      <c r="D437" t="s">
        <v>40</v>
      </c>
      <c r="E437" t="s">
        <v>387</v>
      </c>
      <c r="F437" t="s">
        <v>384</v>
      </c>
      <c r="P437">
        <v>317437.84999999998</v>
      </c>
      <c r="Q437">
        <v>317437.84999999998</v>
      </c>
      <c r="R437">
        <v>272089.58</v>
      </c>
    </row>
    <row r="438" spans="1:49" x14ac:dyDescent="0.3">
      <c r="A438" t="s">
        <v>19</v>
      </c>
      <c r="B438" t="s">
        <v>245</v>
      </c>
      <c r="C438" t="s">
        <v>161</v>
      </c>
      <c r="D438" t="s">
        <v>40</v>
      </c>
      <c r="E438" t="s">
        <v>387</v>
      </c>
      <c r="F438" t="s">
        <v>385</v>
      </c>
    </row>
    <row r="439" spans="1:49" x14ac:dyDescent="0.3">
      <c r="A439" t="s">
        <v>19</v>
      </c>
      <c r="B439" t="s">
        <v>245</v>
      </c>
      <c r="C439" t="s">
        <v>161</v>
      </c>
      <c r="D439" t="s">
        <v>40</v>
      </c>
      <c r="E439" t="s">
        <v>387</v>
      </c>
      <c r="F439" t="s">
        <v>386</v>
      </c>
      <c r="P439">
        <v>317437.84999999998</v>
      </c>
      <c r="Q439">
        <v>317437.84999999998</v>
      </c>
      <c r="R439">
        <v>272089.58</v>
      </c>
    </row>
    <row r="440" spans="1:49" x14ac:dyDescent="0.3">
      <c r="A440" t="s">
        <v>19</v>
      </c>
      <c r="B440" t="s">
        <v>248</v>
      </c>
      <c r="C440" t="s">
        <v>161</v>
      </c>
      <c r="D440" t="s">
        <v>40</v>
      </c>
      <c r="E440" t="s">
        <v>387</v>
      </c>
      <c r="F440" t="s">
        <v>384</v>
      </c>
      <c r="AD440">
        <v>328774.90999999997</v>
      </c>
      <c r="AE440">
        <v>493162.37</v>
      </c>
    </row>
    <row r="441" spans="1:49" x14ac:dyDescent="0.3">
      <c r="A441" t="s">
        <v>19</v>
      </c>
      <c r="B441" t="s">
        <v>248</v>
      </c>
      <c r="C441" t="s">
        <v>161</v>
      </c>
      <c r="D441" t="s">
        <v>40</v>
      </c>
      <c r="E441" t="s">
        <v>387</v>
      </c>
      <c r="F441" t="s">
        <v>385</v>
      </c>
    </row>
    <row r="442" spans="1:49" x14ac:dyDescent="0.3">
      <c r="A442" t="s">
        <v>19</v>
      </c>
      <c r="B442" t="s">
        <v>248</v>
      </c>
      <c r="C442" t="s">
        <v>161</v>
      </c>
      <c r="D442" t="s">
        <v>40</v>
      </c>
      <c r="E442" t="s">
        <v>387</v>
      </c>
      <c r="F442" t="s">
        <v>386</v>
      </c>
      <c r="AD442">
        <v>328774.90999999997</v>
      </c>
      <c r="AE442">
        <v>493162.37</v>
      </c>
    </row>
    <row r="443" spans="1:49" x14ac:dyDescent="0.3">
      <c r="A443" t="s">
        <v>19</v>
      </c>
      <c r="B443" t="s">
        <v>250</v>
      </c>
      <c r="C443" t="s">
        <v>161</v>
      </c>
      <c r="D443" t="s">
        <v>40</v>
      </c>
      <c r="E443" t="s">
        <v>387</v>
      </c>
      <c r="F443" t="s">
        <v>384</v>
      </c>
      <c r="R443">
        <v>8502.7999999999993</v>
      </c>
      <c r="S443">
        <v>59519.6</v>
      </c>
      <c r="T443">
        <v>59519.6</v>
      </c>
      <c r="U443">
        <v>8502.7999999999993</v>
      </c>
    </row>
    <row r="444" spans="1:49" x14ac:dyDescent="0.3">
      <c r="A444" t="s">
        <v>19</v>
      </c>
      <c r="B444" t="s">
        <v>250</v>
      </c>
      <c r="C444" t="s">
        <v>161</v>
      </c>
      <c r="D444" t="s">
        <v>40</v>
      </c>
      <c r="E444" t="s">
        <v>387</v>
      </c>
      <c r="F444" t="s">
        <v>385</v>
      </c>
    </row>
    <row r="445" spans="1:49" x14ac:dyDescent="0.3">
      <c r="A445" t="s">
        <v>19</v>
      </c>
      <c r="B445" t="s">
        <v>250</v>
      </c>
      <c r="C445" t="s">
        <v>161</v>
      </c>
      <c r="D445" t="s">
        <v>40</v>
      </c>
      <c r="E445" t="s">
        <v>387</v>
      </c>
      <c r="F445" t="s">
        <v>386</v>
      </c>
      <c r="R445">
        <v>8502.7999999999993</v>
      </c>
      <c r="S445">
        <v>59519.6</v>
      </c>
      <c r="T445">
        <v>59519.6</v>
      </c>
      <c r="U445">
        <v>8502.7999999999993</v>
      </c>
    </row>
    <row r="446" spans="1:49" x14ac:dyDescent="0.3">
      <c r="A446" t="s">
        <v>19</v>
      </c>
      <c r="B446" t="s">
        <v>252</v>
      </c>
      <c r="C446" t="s">
        <v>161</v>
      </c>
      <c r="D446" t="s">
        <v>40</v>
      </c>
      <c r="E446" t="s">
        <v>387</v>
      </c>
      <c r="F446" t="s">
        <v>384</v>
      </c>
      <c r="X446">
        <v>269255.32</v>
      </c>
      <c r="Y446">
        <v>471196.8</v>
      </c>
      <c r="Z446">
        <v>471196.8</v>
      </c>
      <c r="AA446">
        <v>403882.98</v>
      </c>
    </row>
    <row r="447" spans="1:49" x14ac:dyDescent="0.3">
      <c r="A447" t="s">
        <v>19</v>
      </c>
      <c r="B447" t="s">
        <v>252</v>
      </c>
      <c r="C447" t="s">
        <v>161</v>
      </c>
      <c r="D447" t="s">
        <v>40</v>
      </c>
      <c r="E447" t="s">
        <v>387</v>
      </c>
      <c r="F447" t="s">
        <v>385</v>
      </c>
    </row>
    <row r="448" spans="1:49" x14ac:dyDescent="0.3">
      <c r="A448" t="s">
        <v>19</v>
      </c>
      <c r="B448" t="s">
        <v>252</v>
      </c>
      <c r="C448" t="s">
        <v>161</v>
      </c>
      <c r="D448" t="s">
        <v>40</v>
      </c>
      <c r="E448" t="s">
        <v>387</v>
      </c>
      <c r="F448" t="s">
        <v>386</v>
      </c>
      <c r="X448">
        <v>269255.32</v>
      </c>
      <c r="Y448">
        <v>471196.8</v>
      </c>
      <c r="Z448">
        <v>471196.8</v>
      </c>
      <c r="AA448">
        <v>403882.98</v>
      </c>
    </row>
    <row r="449" spans="1:49" x14ac:dyDescent="0.3">
      <c r="A449" t="s">
        <v>19</v>
      </c>
      <c r="B449" t="s">
        <v>254</v>
      </c>
      <c r="C449" t="s">
        <v>161</v>
      </c>
      <c r="D449" t="s">
        <v>40</v>
      </c>
      <c r="E449" t="s">
        <v>387</v>
      </c>
      <c r="F449" t="s">
        <v>384</v>
      </c>
      <c r="AA449">
        <v>98738.76</v>
      </c>
      <c r="AB449">
        <v>691171.31</v>
      </c>
      <c r="AC449">
        <v>691171.31</v>
      </c>
      <c r="AD449">
        <v>296216.28000000003</v>
      </c>
    </row>
    <row r="450" spans="1:49" x14ac:dyDescent="0.3">
      <c r="A450" t="s">
        <v>19</v>
      </c>
      <c r="B450" t="s">
        <v>254</v>
      </c>
      <c r="C450" t="s">
        <v>161</v>
      </c>
      <c r="D450" t="s">
        <v>40</v>
      </c>
      <c r="E450" t="s">
        <v>387</v>
      </c>
      <c r="F450" t="s">
        <v>385</v>
      </c>
    </row>
    <row r="451" spans="1:49" x14ac:dyDescent="0.3">
      <c r="A451" t="s">
        <v>19</v>
      </c>
      <c r="B451" t="s">
        <v>254</v>
      </c>
      <c r="C451" t="s">
        <v>161</v>
      </c>
      <c r="D451" t="s">
        <v>40</v>
      </c>
      <c r="E451" t="s">
        <v>387</v>
      </c>
      <c r="F451" t="s">
        <v>386</v>
      </c>
      <c r="AA451">
        <v>98738.76</v>
      </c>
      <c r="AB451">
        <v>691171.31</v>
      </c>
      <c r="AC451">
        <v>691171.31</v>
      </c>
      <c r="AD451">
        <v>296216.28000000003</v>
      </c>
    </row>
    <row r="452" spans="1:49" x14ac:dyDescent="0.3">
      <c r="A452" t="s">
        <v>19</v>
      </c>
      <c r="B452" t="s">
        <v>256</v>
      </c>
      <c r="C452" t="s">
        <v>161</v>
      </c>
      <c r="D452" t="s">
        <v>40</v>
      </c>
      <c r="E452" t="s">
        <v>387</v>
      </c>
      <c r="F452" t="s">
        <v>384</v>
      </c>
      <c r="AO452">
        <v>749315.64</v>
      </c>
      <c r="AP452">
        <v>749315.64</v>
      </c>
      <c r="AQ452">
        <v>749315.64</v>
      </c>
      <c r="AR452">
        <v>107045.09</v>
      </c>
    </row>
    <row r="453" spans="1:49" x14ac:dyDescent="0.3">
      <c r="A453" t="s">
        <v>19</v>
      </c>
      <c r="B453" t="s">
        <v>256</v>
      </c>
      <c r="C453" t="s">
        <v>161</v>
      </c>
      <c r="D453" t="s">
        <v>40</v>
      </c>
      <c r="E453" t="s">
        <v>387</v>
      </c>
      <c r="F453" t="s">
        <v>385</v>
      </c>
    </row>
    <row r="454" spans="1:49" x14ac:dyDescent="0.3">
      <c r="A454" t="s">
        <v>19</v>
      </c>
      <c r="B454" t="s">
        <v>256</v>
      </c>
      <c r="C454" t="s">
        <v>161</v>
      </c>
      <c r="D454" t="s">
        <v>40</v>
      </c>
      <c r="E454" t="s">
        <v>387</v>
      </c>
      <c r="F454" t="s">
        <v>386</v>
      </c>
      <c r="AO454">
        <v>749315.64</v>
      </c>
      <c r="AP454">
        <v>749315.64</v>
      </c>
      <c r="AQ454">
        <v>749315.64</v>
      </c>
      <c r="AR454">
        <v>107045.09</v>
      </c>
    </row>
    <row r="455" spans="1:49" x14ac:dyDescent="0.3">
      <c r="A455" t="s">
        <v>19</v>
      </c>
      <c r="B455" t="s">
        <v>260</v>
      </c>
      <c r="C455" t="s">
        <v>161</v>
      </c>
      <c r="D455" t="s">
        <v>40</v>
      </c>
      <c r="E455" t="s">
        <v>387</v>
      </c>
      <c r="F455" t="s">
        <v>384</v>
      </c>
      <c r="AR455">
        <v>219282.72</v>
      </c>
      <c r="AS455">
        <v>255829.84</v>
      </c>
      <c r="AT455">
        <v>219282.72</v>
      </c>
    </row>
    <row r="456" spans="1:49" x14ac:dyDescent="0.3">
      <c r="A456" t="s">
        <v>19</v>
      </c>
      <c r="B456" t="s">
        <v>260</v>
      </c>
      <c r="C456" t="s">
        <v>161</v>
      </c>
      <c r="D456" t="s">
        <v>40</v>
      </c>
      <c r="E456" t="s">
        <v>387</v>
      </c>
      <c r="F456" t="s">
        <v>385</v>
      </c>
    </row>
    <row r="457" spans="1:49" x14ac:dyDescent="0.3">
      <c r="A457" t="s">
        <v>19</v>
      </c>
      <c r="B457" t="s">
        <v>260</v>
      </c>
      <c r="C457" t="s">
        <v>161</v>
      </c>
      <c r="D457" t="s">
        <v>40</v>
      </c>
      <c r="E457" t="s">
        <v>387</v>
      </c>
      <c r="F457" t="s">
        <v>386</v>
      </c>
      <c r="AR457">
        <v>219282.72</v>
      </c>
      <c r="AS457">
        <v>255829.84</v>
      </c>
      <c r="AT457">
        <v>219282.72</v>
      </c>
    </row>
    <row r="458" spans="1:49" x14ac:dyDescent="0.3">
      <c r="A458" t="s">
        <v>19</v>
      </c>
      <c r="B458" t="s">
        <v>262</v>
      </c>
      <c r="C458" t="s">
        <v>161</v>
      </c>
      <c r="D458" t="s">
        <v>45</v>
      </c>
      <c r="E458" t="s">
        <v>387</v>
      </c>
      <c r="F458" t="s">
        <v>384</v>
      </c>
      <c r="AJ458">
        <v>539644.34</v>
      </c>
      <c r="AK458">
        <v>1888755.19</v>
      </c>
      <c r="AL458">
        <v>1888755.19</v>
      </c>
      <c r="AM458">
        <v>1888755.19</v>
      </c>
      <c r="AN458">
        <v>1888755.19</v>
      </c>
    </row>
    <row r="459" spans="1:49" x14ac:dyDescent="0.3">
      <c r="A459" t="s">
        <v>19</v>
      </c>
      <c r="B459" t="s">
        <v>262</v>
      </c>
      <c r="C459" t="s">
        <v>161</v>
      </c>
      <c r="D459" t="s">
        <v>45</v>
      </c>
      <c r="E459" t="s">
        <v>387</v>
      </c>
      <c r="F459" t="s">
        <v>385</v>
      </c>
    </row>
    <row r="460" spans="1:49" x14ac:dyDescent="0.3">
      <c r="A460" t="s">
        <v>19</v>
      </c>
      <c r="B460" t="s">
        <v>262</v>
      </c>
      <c r="C460" t="s">
        <v>161</v>
      </c>
      <c r="D460" t="s">
        <v>45</v>
      </c>
      <c r="E460" t="s">
        <v>387</v>
      </c>
      <c r="F460" t="s">
        <v>386</v>
      </c>
      <c r="AJ460">
        <v>539644.34</v>
      </c>
      <c r="AK460">
        <v>1888755.19</v>
      </c>
      <c r="AL460">
        <v>1888755.19</v>
      </c>
      <c r="AM460">
        <v>1888755.19</v>
      </c>
      <c r="AN460">
        <v>1888755.19</v>
      </c>
    </row>
    <row r="461" spans="1:49" x14ac:dyDescent="0.3">
      <c r="A461" t="s">
        <v>19</v>
      </c>
      <c r="B461" t="s">
        <v>267</v>
      </c>
      <c r="C461" t="s">
        <v>161</v>
      </c>
      <c r="D461" t="s">
        <v>31</v>
      </c>
      <c r="E461" t="s">
        <v>387</v>
      </c>
      <c r="F461" t="s">
        <v>384</v>
      </c>
      <c r="AT461">
        <v>272532.65999999997</v>
      </c>
      <c r="AU461">
        <v>1907728.59</v>
      </c>
      <c r="AV461">
        <v>1907728.59</v>
      </c>
      <c r="AW461">
        <v>1907728.59</v>
      </c>
    </row>
    <row r="462" spans="1:49" x14ac:dyDescent="0.3">
      <c r="A462" t="s">
        <v>19</v>
      </c>
      <c r="B462" t="s">
        <v>267</v>
      </c>
      <c r="C462" t="s">
        <v>161</v>
      </c>
      <c r="D462" t="s">
        <v>31</v>
      </c>
      <c r="E462" t="s">
        <v>387</v>
      </c>
      <c r="F462" t="s">
        <v>385</v>
      </c>
    </row>
    <row r="463" spans="1:49" x14ac:dyDescent="0.3">
      <c r="A463" t="s">
        <v>19</v>
      </c>
      <c r="B463" t="s">
        <v>267</v>
      </c>
      <c r="C463" t="s">
        <v>161</v>
      </c>
      <c r="D463" t="s">
        <v>31</v>
      </c>
      <c r="E463" t="s">
        <v>387</v>
      </c>
      <c r="F463" t="s">
        <v>386</v>
      </c>
      <c r="AT463">
        <v>272532.65999999997</v>
      </c>
      <c r="AU463">
        <v>1907728.59</v>
      </c>
      <c r="AV463">
        <v>1907728.59</v>
      </c>
      <c r="AW463">
        <v>1907728.59</v>
      </c>
    </row>
    <row r="464" spans="1:49" x14ac:dyDescent="0.3">
      <c r="A464" t="s">
        <v>19</v>
      </c>
      <c r="B464" t="s">
        <v>270</v>
      </c>
      <c r="C464" t="s">
        <v>161</v>
      </c>
      <c r="D464" t="s">
        <v>61</v>
      </c>
      <c r="E464" t="s">
        <v>387</v>
      </c>
      <c r="F464" t="s">
        <v>384</v>
      </c>
      <c r="AS464">
        <v>22680.93</v>
      </c>
      <c r="AT464">
        <v>45361.87</v>
      </c>
    </row>
    <row r="465" spans="1:53" x14ac:dyDescent="0.3">
      <c r="A465" t="s">
        <v>19</v>
      </c>
      <c r="B465" t="s">
        <v>270</v>
      </c>
      <c r="C465" t="s">
        <v>161</v>
      </c>
      <c r="D465" t="s">
        <v>61</v>
      </c>
      <c r="E465" t="s">
        <v>387</v>
      </c>
      <c r="F465" t="s">
        <v>385</v>
      </c>
    </row>
    <row r="466" spans="1:53" x14ac:dyDescent="0.3">
      <c r="A466" t="s">
        <v>19</v>
      </c>
      <c r="B466" t="s">
        <v>270</v>
      </c>
      <c r="C466" t="s">
        <v>161</v>
      </c>
      <c r="D466" t="s">
        <v>61</v>
      </c>
      <c r="E466" t="s">
        <v>387</v>
      </c>
      <c r="F466" t="s">
        <v>386</v>
      </c>
      <c r="AS466">
        <v>22680.93</v>
      </c>
      <c r="AT466">
        <v>45361.87</v>
      </c>
    </row>
    <row r="467" spans="1:53" x14ac:dyDescent="0.3">
      <c r="A467" t="s">
        <v>19</v>
      </c>
      <c r="B467" t="s">
        <v>273</v>
      </c>
      <c r="C467" t="s">
        <v>161</v>
      </c>
      <c r="D467" t="s">
        <v>64</v>
      </c>
      <c r="E467" t="s">
        <v>387</v>
      </c>
      <c r="F467" t="s">
        <v>384</v>
      </c>
      <c r="AT467">
        <v>4579.04</v>
      </c>
      <c r="AU467">
        <v>32053.29</v>
      </c>
      <c r="AV467">
        <v>9158.08</v>
      </c>
    </row>
    <row r="468" spans="1:53" x14ac:dyDescent="0.3">
      <c r="A468" t="s">
        <v>19</v>
      </c>
      <c r="B468" t="s">
        <v>273</v>
      </c>
      <c r="C468" t="s">
        <v>161</v>
      </c>
      <c r="D468" t="s">
        <v>64</v>
      </c>
      <c r="E468" t="s">
        <v>387</v>
      </c>
      <c r="F468" t="s">
        <v>385</v>
      </c>
    </row>
    <row r="469" spans="1:53" x14ac:dyDescent="0.3">
      <c r="A469" t="s">
        <v>19</v>
      </c>
      <c r="B469" t="s">
        <v>273</v>
      </c>
      <c r="C469" t="s">
        <v>161</v>
      </c>
      <c r="D469" t="s">
        <v>64</v>
      </c>
      <c r="E469" t="s">
        <v>387</v>
      </c>
      <c r="F469" t="s">
        <v>386</v>
      </c>
      <c r="AT469">
        <v>4579.04</v>
      </c>
      <c r="AU469">
        <v>32053.29</v>
      </c>
      <c r="AV469">
        <v>9158.08</v>
      </c>
    </row>
    <row r="470" spans="1:53" x14ac:dyDescent="0.3">
      <c r="A470" t="s">
        <v>19</v>
      </c>
      <c r="B470" t="s">
        <v>275</v>
      </c>
      <c r="C470" t="s">
        <v>161</v>
      </c>
      <c r="D470" t="s">
        <v>35</v>
      </c>
      <c r="E470" t="s">
        <v>387</v>
      </c>
      <c r="F470" t="s">
        <v>384</v>
      </c>
      <c r="AX470">
        <v>345203.74</v>
      </c>
      <c r="AY470">
        <v>345203.74</v>
      </c>
      <c r="AZ470">
        <v>345203.74</v>
      </c>
      <c r="BA470">
        <v>345203.74</v>
      </c>
    </row>
    <row r="471" spans="1:53" x14ac:dyDescent="0.3">
      <c r="A471" t="s">
        <v>19</v>
      </c>
      <c r="B471" t="s">
        <v>275</v>
      </c>
      <c r="C471" t="s">
        <v>161</v>
      </c>
      <c r="D471" t="s">
        <v>35</v>
      </c>
      <c r="E471" t="s">
        <v>387</v>
      </c>
      <c r="F471" t="s">
        <v>385</v>
      </c>
    </row>
    <row r="472" spans="1:53" x14ac:dyDescent="0.3">
      <c r="A472" t="s">
        <v>19</v>
      </c>
      <c r="B472" t="s">
        <v>275</v>
      </c>
      <c r="C472" t="s">
        <v>161</v>
      </c>
      <c r="D472" t="s">
        <v>35</v>
      </c>
      <c r="E472" t="s">
        <v>387</v>
      </c>
      <c r="F472" t="s">
        <v>386</v>
      </c>
      <c r="AX472">
        <v>345203.74</v>
      </c>
      <c r="AY472">
        <v>345203.74</v>
      </c>
      <c r="AZ472">
        <v>345203.74</v>
      </c>
      <c r="BA472">
        <v>345203.74</v>
      </c>
    </row>
    <row r="473" spans="1:53" x14ac:dyDescent="0.3">
      <c r="A473" t="s">
        <v>19</v>
      </c>
      <c r="B473" t="s">
        <v>278</v>
      </c>
      <c r="C473" t="s">
        <v>161</v>
      </c>
      <c r="D473" t="s">
        <v>40</v>
      </c>
      <c r="E473" t="s">
        <v>387</v>
      </c>
      <c r="F473" t="s">
        <v>384</v>
      </c>
      <c r="R473">
        <v>45348.26</v>
      </c>
      <c r="S473">
        <v>317437.84999999998</v>
      </c>
      <c r="T473">
        <v>317437.84999999998</v>
      </c>
      <c r="U473">
        <v>226741.32</v>
      </c>
    </row>
    <row r="474" spans="1:53" x14ac:dyDescent="0.3">
      <c r="A474" t="s">
        <v>19</v>
      </c>
      <c r="B474" t="s">
        <v>278</v>
      </c>
      <c r="C474" t="s">
        <v>161</v>
      </c>
      <c r="D474" t="s">
        <v>40</v>
      </c>
      <c r="E474" t="s">
        <v>387</v>
      </c>
      <c r="F474" t="s">
        <v>385</v>
      </c>
    </row>
    <row r="475" spans="1:53" x14ac:dyDescent="0.3">
      <c r="A475" t="s">
        <v>19</v>
      </c>
      <c r="B475" t="s">
        <v>278</v>
      </c>
      <c r="C475" t="s">
        <v>161</v>
      </c>
      <c r="D475" t="s">
        <v>40</v>
      </c>
      <c r="E475" t="s">
        <v>387</v>
      </c>
      <c r="F475" t="s">
        <v>386</v>
      </c>
      <c r="R475">
        <v>45348.26</v>
      </c>
      <c r="S475">
        <v>317437.84999999998</v>
      </c>
      <c r="T475">
        <v>317437.84999999998</v>
      </c>
      <c r="U475">
        <v>226741.32</v>
      </c>
    </row>
    <row r="476" spans="1:53" x14ac:dyDescent="0.3">
      <c r="A476" t="s">
        <v>19</v>
      </c>
      <c r="B476" t="s">
        <v>281</v>
      </c>
      <c r="C476" t="s">
        <v>161</v>
      </c>
      <c r="D476" t="s">
        <v>40</v>
      </c>
      <c r="E476" t="s">
        <v>387</v>
      </c>
      <c r="F476" t="s">
        <v>384</v>
      </c>
      <c r="AI476">
        <v>82193.73</v>
      </c>
      <c r="AJ476">
        <v>575356.1</v>
      </c>
      <c r="AK476">
        <v>164387.46</v>
      </c>
    </row>
    <row r="477" spans="1:53" x14ac:dyDescent="0.3">
      <c r="A477" t="s">
        <v>19</v>
      </c>
      <c r="B477" t="s">
        <v>281</v>
      </c>
      <c r="C477" t="s">
        <v>161</v>
      </c>
      <c r="D477" t="s">
        <v>40</v>
      </c>
      <c r="E477" t="s">
        <v>387</v>
      </c>
      <c r="F477" t="s">
        <v>385</v>
      </c>
    </row>
    <row r="478" spans="1:53" x14ac:dyDescent="0.3">
      <c r="A478" t="s">
        <v>19</v>
      </c>
      <c r="B478" t="s">
        <v>281</v>
      </c>
      <c r="C478" t="s">
        <v>161</v>
      </c>
      <c r="D478" t="s">
        <v>40</v>
      </c>
      <c r="E478" t="s">
        <v>387</v>
      </c>
      <c r="F478" t="s">
        <v>386</v>
      </c>
      <c r="AI478">
        <v>82193.73</v>
      </c>
      <c r="AJ478">
        <v>575356.1</v>
      </c>
      <c r="AK478">
        <v>164387.46</v>
      </c>
    </row>
    <row r="479" spans="1:53" x14ac:dyDescent="0.3">
      <c r="A479" t="s">
        <v>19</v>
      </c>
      <c r="B479" t="s">
        <v>283</v>
      </c>
      <c r="C479" t="s">
        <v>161</v>
      </c>
      <c r="D479" t="s">
        <v>40</v>
      </c>
      <c r="E479" t="s">
        <v>387</v>
      </c>
      <c r="F479" t="s">
        <v>384</v>
      </c>
      <c r="W479">
        <v>8502.7999999999993</v>
      </c>
      <c r="X479">
        <v>59519.6</v>
      </c>
      <c r="Y479">
        <v>59519.6</v>
      </c>
      <c r="Z479">
        <v>8502.7999999999993</v>
      </c>
    </row>
    <row r="480" spans="1:53" x14ac:dyDescent="0.3">
      <c r="A480" t="s">
        <v>19</v>
      </c>
      <c r="B480" t="s">
        <v>283</v>
      </c>
      <c r="C480" t="s">
        <v>161</v>
      </c>
      <c r="D480" t="s">
        <v>40</v>
      </c>
      <c r="E480" t="s">
        <v>387</v>
      </c>
      <c r="F480" t="s">
        <v>385</v>
      </c>
    </row>
    <row r="481" spans="1:51" x14ac:dyDescent="0.3">
      <c r="A481" t="s">
        <v>19</v>
      </c>
      <c r="B481" t="s">
        <v>283</v>
      </c>
      <c r="C481" t="s">
        <v>161</v>
      </c>
      <c r="D481" t="s">
        <v>40</v>
      </c>
      <c r="E481" t="s">
        <v>387</v>
      </c>
      <c r="F481" t="s">
        <v>386</v>
      </c>
      <c r="W481">
        <v>8502.7999999999993</v>
      </c>
      <c r="X481">
        <v>59519.6</v>
      </c>
      <c r="Y481">
        <v>59519.6</v>
      </c>
      <c r="Z481">
        <v>8502.7999999999993</v>
      </c>
    </row>
    <row r="482" spans="1:51" x14ac:dyDescent="0.3">
      <c r="A482" t="s">
        <v>19</v>
      </c>
      <c r="B482" t="s">
        <v>285</v>
      </c>
      <c r="C482" t="s">
        <v>161</v>
      </c>
      <c r="D482" t="s">
        <v>40</v>
      </c>
      <c r="E482" t="s">
        <v>387</v>
      </c>
      <c r="F482" t="s">
        <v>384</v>
      </c>
      <c r="AA482">
        <v>67313.83</v>
      </c>
      <c r="AB482">
        <v>471196.8</v>
      </c>
      <c r="AC482">
        <v>471196.8</v>
      </c>
      <c r="AD482">
        <v>471196.8</v>
      </c>
      <c r="AE482">
        <v>134627.66</v>
      </c>
    </row>
    <row r="483" spans="1:51" x14ac:dyDescent="0.3">
      <c r="A483" t="s">
        <v>19</v>
      </c>
      <c r="B483" t="s">
        <v>285</v>
      </c>
      <c r="C483" t="s">
        <v>161</v>
      </c>
      <c r="D483" t="s">
        <v>40</v>
      </c>
      <c r="E483" t="s">
        <v>387</v>
      </c>
      <c r="F483" t="s">
        <v>385</v>
      </c>
    </row>
    <row r="484" spans="1:51" x14ac:dyDescent="0.3">
      <c r="A484" t="s">
        <v>19</v>
      </c>
      <c r="B484" t="s">
        <v>285</v>
      </c>
      <c r="C484" t="s">
        <v>161</v>
      </c>
      <c r="D484" t="s">
        <v>40</v>
      </c>
      <c r="E484" t="s">
        <v>387</v>
      </c>
      <c r="F484" t="s">
        <v>386</v>
      </c>
      <c r="AA484">
        <v>67313.83</v>
      </c>
      <c r="AB484">
        <v>471196.8</v>
      </c>
      <c r="AC484">
        <v>471196.8</v>
      </c>
      <c r="AD484">
        <v>471196.8</v>
      </c>
      <c r="AE484">
        <v>134627.66</v>
      </c>
    </row>
    <row r="485" spans="1:51" x14ac:dyDescent="0.3">
      <c r="A485" t="s">
        <v>19</v>
      </c>
      <c r="B485" t="s">
        <v>287</v>
      </c>
      <c r="C485" t="s">
        <v>161</v>
      </c>
      <c r="D485" t="s">
        <v>40</v>
      </c>
      <c r="E485" t="s">
        <v>387</v>
      </c>
      <c r="F485" t="s">
        <v>384</v>
      </c>
      <c r="AE485">
        <v>394955.04</v>
      </c>
      <c r="AG485">
        <v>98738.76</v>
      </c>
      <c r="AH485">
        <v>691171.31</v>
      </c>
      <c r="AI485">
        <v>592432.55000000005</v>
      </c>
    </row>
    <row r="486" spans="1:51" x14ac:dyDescent="0.3">
      <c r="A486" t="s">
        <v>19</v>
      </c>
      <c r="B486" t="s">
        <v>287</v>
      </c>
      <c r="C486" t="s">
        <v>161</v>
      </c>
      <c r="D486" t="s">
        <v>40</v>
      </c>
      <c r="E486" t="s">
        <v>387</v>
      </c>
      <c r="F486" t="s">
        <v>385</v>
      </c>
    </row>
    <row r="487" spans="1:51" x14ac:dyDescent="0.3">
      <c r="A487" t="s">
        <v>19</v>
      </c>
      <c r="B487" t="s">
        <v>287</v>
      </c>
      <c r="C487" t="s">
        <v>161</v>
      </c>
      <c r="D487" t="s">
        <v>40</v>
      </c>
      <c r="E487" t="s">
        <v>387</v>
      </c>
      <c r="F487" t="s">
        <v>386</v>
      </c>
      <c r="AE487">
        <v>394955.04</v>
      </c>
      <c r="AG487">
        <v>98738.76</v>
      </c>
      <c r="AH487">
        <v>691171.31</v>
      </c>
      <c r="AI487">
        <v>592432.55000000005</v>
      </c>
    </row>
    <row r="488" spans="1:51" x14ac:dyDescent="0.3">
      <c r="A488" t="s">
        <v>19</v>
      </c>
      <c r="B488" t="s">
        <v>289</v>
      </c>
      <c r="C488" t="s">
        <v>161</v>
      </c>
      <c r="D488" t="s">
        <v>40</v>
      </c>
      <c r="E488" t="s">
        <v>387</v>
      </c>
      <c r="F488" t="s">
        <v>384</v>
      </c>
      <c r="AS488">
        <v>535225.46</v>
      </c>
      <c r="AT488">
        <v>749315.64</v>
      </c>
      <c r="AU488">
        <v>749315.64</v>
      </c>
      <c r="AV488">
        <v>321135.28000000003</v>
      </c>
    </row>
    <row r="489" spans="1:51" x14ac:dyDescent="0.3">
      <c r="A489" t="s">
        <v>19</v>
      </c>
      <c r="B489" t="s">
        <v>289</v>
      </c>
      <c r="C489" t="s">
        <v>161</v>
      </c>
      <c r="D489" t="s">
        <v>40</v>
      </c>
      <c r="E489" t="s">
        <v>387</v>
      </c>
      <c r="F489" t="s">
        <v>385</v>
      </c>
    </row>
    <row r="490" spans="1:51" x14ac:dyDescent="0.3">
      <c r="A490" t="s">
        <v>19</v>
      </c>
      <c r="B490" t="s">
        <v>289</v>
      </c>
      <c r="C490" t="s">
        <v>161</v>
      </c>
      <c r="D490" t="s">
        <v>40</v>
      </c>
      <c r="E490" t="s">
        <v>387</v>
      </c>
      <c r="F490" t="s">
        <v>386</v>
      </c>
      <c r="AS490">
        <v>535225.46</v>
      </c>
      <c r="AT490">
        <v>749315.64</v>
      </c>
      <c r="AU490">
        <v>749315.64</v>
      </c>
      <c r="AV490">
        <v>321135.28000000003</v>
      </c>
    </row>
    <row r="491" spans="1:51" x14ac:dyDescent="0.3">
      <c r="A491" t="s">
        <v>19</v>
      </c>
      <c r="B491" t="s">
        <v>291</v>
      </c>
      <c r="C491" t="s">
        <v>161</v>
      </c>
      <c r="D491" t="s">
        <v>40</v>
      </c>
      <c r="E491" t="s">
        <v>387</v>
      </c>
      <c r="F491" t="s">
        <v>384</v>
      </c>
      <c r="AV491">
        <v>146188.48000000001</v>
      </c>
      <c r="AW491">
        <v>255829.84</v>
      </c>
      <c r="AX491">
        <v>255829.84</v>
      </c>
      <c r="AY491">
        <v>36547.120000000003</v>
      </c>
    </row>
    <row r="492" spans="1:51" x14ac:dyDescent="0.3">
      <c r="A492" t="s">
        <v>19</v>
      </c>
      <c r="B492" t="s">
        <v>291</v>
      </c>
      <c r="C492" t="s">
        <v>161</v>
      </c>
      <c r="D492" t="s">
        <v>40</v>
      </c>
      <c r="E492" t="s">
        <v>387</v>
      </c>
      <c r="F492" t="s">
        <v>385</v>
      </c>
    </row>
    <row r="493" spans="1:51" x14ac:dyDescent="0.3">
      <c r="A493" t="s">
        <v>19</v>
      </c>
      <c r="B493" t="s">
        <v>291</v>
      </c>
      <c r="C493" t="s">
        <v>161</v>
      </c>
      <c r="D493" t="s">
        <v>40</v>
      </c>
      <c r="E493" t="s">
        <v>387</v>
      </c>
      <c r="F493" t="s">
        <v>386</v>
      </c>
      <c r="AV493">
        <v>146188.48000000001</v>
      </c>
      <c r="AW493">
        <v>255829.84</v>
      </c>
      <c r="AX493">
        <v>255829.84</v>
      </c>
      <c r="AY493">
        <v>36547.120000000003</v>
      </c>
    </row>
    <row r="494" spans="1:51" x14ac:dyDescent="0.3">
      <c r="A494" t="s">
        <v>19</v>
      </c>
      <c r="B494" t="s">
        <v>293</v>
      </c>
      <c r="C494" t="s">
        <v>161</v>
      </c>
      <c r="D494" t="s">
        <v>45</v>
      </c>
      <c r="E494" t="s">
        <v>387</v>
      </c>
      <c r="F494" t="s">
        <v>384</v>
      </c>
      <c r="AO494">
        <v>1888755.19</v>
      </c>
      <c r="AP494">
        <v>1888755.19</v>
      </c>
      <c r="AQ494">
        <v>1888755.19</v>
      </c>
      <c r="AR494">
        <v>1888755.19</v>
      </c>
      <c r="AS494">
        <v>539644.34</v>
      </c>
    </row>
    <row r="495" spans="1:51" x14ac:dyDescent="0.3">
      <c r="A495" t="s">
        <v>19</v>
      </c>
      <c r="B495" t="s">
        <v>293</v>
      </c>
      <c r="C495" t="s">
        <v>161</v>
      </c>
      <c r="D495" t="s">
        <v>45</v>
      </c>
      <c r="E495" t="s">
        <v>387</v>
      </c>
      <c r="F495" t="s">
        <v>385</v>
      </c>
    </row>
    <row r="496" spans="1:51" x14ac:dyDescent="0.3">
      <c r="A496" t="s">
        <v>19</v>
      </c>
      <c r="B496" t="s">
        <v>293</v>
      </c>
      <c r="C496" t="s">
        <v>161</v>
      </c>
      <c r="D496" t="s">
        <v>45</v>
      </c>
      <c r="E496" t="s">
        <v>387</v>
      </c>
      <c r="F496" t="s">
        <v>386</v>
      </c>
      <c r="AO496">
        <v>1888755.19</v>
      </c>
      <c r="AP496">
        <v>1888755.19</v>
      </c>
      <c r="AQ496">
        <v>1888755.19</v>
      </c>
      <c r="AR496">
        <v>1888755.19</v>
      </c>
      <c r="AS496">
        <v>539644.34</v>
      </c>
    </row>
    <row r="497" spans="1:58" x14ac:dyDescent="0.3">
      <c r="A497" t="s">
        <v>19</v>
      </c>
      <c r="B497" t="s">
        <v>298</v>
      </c>
      <c r="C497" t="s">
        <v>161</v>
      </c>
      <c r="D497" t="s">
        <v>31</v>
      </c>
      <c r="E497" t="s">
        <v>387</v>
      </c>
      <c r="F497" t="s">
        <v>384</v>
      </c>
      <c r="AY497">
        <v>1635195.94</v>
      </c>
      <c r="AZ497">
        <v>1907728.59</v>
      </c>
      <c r="BA497">
        <v>1907728.59</v>
      </c>
      <c r="BB497">
        <v>545065.31000000006</v>
      </c>
    </row>
    <row r="498" spans="1:58" x14ac:dyDescent="0.3">
      <c r="A498" t="s">
        <v>19</v>
      </c>
      <c r="B498" t="s">
        <v>298</v>
      </c>
      <c r="C498" t="s">
        <v>161</v>
      </c>
      <c r="D498" t="s">
        <v>31</v>
      </c>
      <c r="E498" t="s">
        <v>387</v>
      </c>
      <c r="F498" t="s">
        <v>385</v>
      </c>
    </row>
    <row r="499" spans="1:58" x14ac:dyDescent="0.3">
      <c r="A499" t="s">
        <v>19</v>
      </c>
      <c r="B499" t="s">
        <v>298</v>
      </c>
      <c r="C499" t="s">
        <v>161</v>
      </c>
      <c r="D499" t="s">
        <v>31</v>
      </c>
      <c r="E499" t="s">
        <v>387</v>
      </c>
      <c r="F499" t="s">
        <v>386</v>
      </c>
      <c r="AY499">
        <v>1635195.94</v>
      </c>
      <c r="AZ499">
        <v>1907728.59</v>
      </c>
      <c r="BA499">
        <v>1907728.59</v>
      </c>
      <c r="BB499">
        <v>545065.31000000006</v>
      </c>
    </row>
    <row r="500" spans="1:58" x14ac:dyDescent="0.3">
      <c r="A500" t="s">
        <v>19</v>
      </c>
      <c r="B500" t="s">
        <v>301</v>
      </c>
      <c r="C500" t="s">
        <v>161</v>
      </c>
      <c r="D500" t="s">
        <v>61</v>
      </c>
      <c r="E500" t="s">
        <v>387</v>
      </c>
      <c r="F500" t="s">
        <v>384</v>
      </c>
      <c r="AW500">
        <v>7560.31</v>
      </c>
      <c r="AX500">
        <v>52922.18</v>
      </c>
      <c r="AY500">
        <v>7560.31</v>
      </c>
    </row>
    <row r="501" spans="1:58" x14ac:dyDescent="0.3">
      <c r="A501" t="s">
        <v>19</v>
      </c>
      <c r="B501" t="s">
        <v>301</v>
      </c>
      <c r="C501" t="s">
        <v>161</v>
      </c>
      <c r="D501" t="s">
        <v>61</v>
      </c>
      <c r="E501" t="s">
        <v>387</v>
      </c>
      <c r="F501" t="s">
        <v>385</v>
      </c>
    </row>
    <row r="502" spans="1:58" x14ac:dyDescent="0.3">
      <c r="A502" t="s">
        <v>19</v>
      </c>
      <c r="B502" t="s">
        <v>301</v>
      </c>
      <c r="C502" t="s">
        <v>161</v>
      </c>
      <c r="D502" t="s">
        <v>61</v>
      </c>
      <c r="E502" t="s">
        <v>387</v>
      </c>
      <c r="F502" t="s">
        <v>386</v>
      </c>
      <c r="AW502">
        <v>7560.31</v>
      </c>
      <c r="AX502">
        <v>52922.18</v>
      </c>
      <c r="AY502">
        <v>7560.31</v>
      </c>
    </row>
    <row r="503" spans="1:58" x14ac:dyDescent="0.3">
      <c r="A503" t="s">
        <v>19</v>
      </c>
      <c r="B503" t="s">
        <v>304</v>
      </c>
      <c r="C503" t="s">
        <v>161</v>
      </c>
      <c r="D503" t="s">
        <v>64</v>
      </c>
      <c r="E503" t="s">
        <v>387</v>
      </c>
      <c r="F503" t="s">
        <v>384</v>
      </c>
      <c r="AY503">
        <v>27474.25</v>
      </c>
      <c r="AZ503">
        <v>18316.16</v>
      </c>
    </row>
    <row r="504" spans="1:58" x14ac:dyDescent="0.3">
      <c r="A504" t="s">
        <v>19</v>
      </c>
      <c r="B504" t="s">
        <v>304</v>
      </c>
      <c r="C504" t="s">
        <v>161</v>
      </c>
      <c r="D504" t="s">
        <v>64</v>
      </c>
      <c r="E504" t="s">
        <v>387</v>
      </c>
      <c r="F504" t="s">
        <v>385</v>
      </c>
    </row>
    <row r="505" spans="1:58" x14ac:dyDescent="0.3">
      <c r="A505" t="s">
        <v>19</v>
      </c>
      <c r="B505" t="s">
        <v>304</v>
      </c>
      <c r="C505" t="s">
        <v>161</v>
      </c>
      <c r="D505" t="s">
        <v>64</v>
      </c>
      <c r="E505" t="s">
        <v>387</v>
      </c>
      <c r="F505" t="s">
        <v>386</v>
      </c>
      <c r="AY505">
        <v>27474.25</v>
      </c>
      <c r="AZ505">
        <v>18316.16</v>
      </c>
    </row>
    <row r="506" spans="1:58" x14ac:dyDescent="0.3">
      <c r="A506" t="s">
        <v>19</v>
      </c>
      <c r="B506" t="s">
        <v>306</v>
      </c>
      <c r="C506" t="s">
        <v>161</v>
      </c>
      <c r="D506" t="s">
        <v>35</v>
      </c>
      <c r="E506" t="s">
        <v>387</v>
      </c>
      <c r="F506" t="s">
        <v>384</v>
      </c>
      <c r="BB506">
        <v>246574.1</v>
      </c>
      <c r="BC506">
        <v>345203.74</v>
      </c>
      <c r="BD506">
        <v>345203.74</v>
      </c>
      <c r="BE506">
        <v>345203.74</v>
      </c>
      <c r="BF506">
        <v>98629.64</v>
      </c>
    </row>
    <row r="507" spans="1:58" x14ac:dyDescent="0.3">
      <c r="A507" t="s">
        <v>19</v>
      </c>
      <c r="B507" t="s">
        <v>306</v>
      </c>
      <c r="C507" t="s">
        <v>161</v>
      </c>
      <c r="D507" t="s">
        <v>35</v>
      </c>
      <c r="E507" t="s">
        <v>387</v>
      </c>
      <c r="F507" t="s">
        <v>385</v>
      </c>
    </row>
    <row r="508" spans="1:58" x14ac:dyDescent="0.3">
      <c r="A508" t="s">
        <v>19</v>
      </c>
      <c r="B508" t="s">
        <v>306</v>
      </c>
      <c r="C508" t="s">
        <v>161</v>
      </c>
      <c r="D508" t="s">
        <v>35</v>
      </c>
      <c r="E508" t="s">
        <v>387</v>
      </c>
      <c r="F508" t="s">
        <v>386</v>
      </c>
      <c r="BB508">
        <v>246574.1</v>
      </c>
      <c r="BC508">
        <v>345203.74</v>
      </c>
      <c r="BD508">
        <v>345203.74</v>
      </c>
      <c r="BE508">
        <v>345203.74</v>
      </c>
      <c r="BF508">
        <v>98629.64</v>
      </c>
    </row>
    <row r="509" spans="1:58" x14ac:dyDescent="0.3">
      <c r="A509" t="s">
        <v>19</v>
      </c>
      <c r="B509" t="s">
        <v>309</v>
      </c>
      <c r="C509" t="s">
        <v>312</v>
      </c>
      <c r="D509" t="s">
        <v>45</v>
      </c>
      <c r="E509" t="s">
        <v>387</v>
      </c>
      <c r="F509" t="s">
        <v>384</v>
      </c>
      <c r="AD509">
        <v>458815.48</v>
      </c>
      <c r="AE509">
        <v>229407.74</v>
      </c>
    </row>
    <row r="510" spans="1:58" x14ac:dyDescent="0.3">
      <c r="A510" t="s">
        <v>19</v>
      </c>
      <c r="B510" t="s">
        <v>309</v>
      </c>
      <c r="C510" t="s">
        <v>312</v>
      </c>
      <c r="D510" t="s">
        <v>45</v>
      </c>
      <c r="E510" t="s">
        <v>387</v>
      </c>
      <c r="F510" t="s">
        <v>385</v>
      </c>
    </row>
    <row r="511" spans="1:58" x14ac:dyDescent="0.3">
      <c r="A511" t="s">
        <v>19</v>
      </c>
      <c r="B511" t="s">
        <v>309</v>
      </c>
      <c r="C511" t="s">
        <v>312</v>
      </c>
      <c r="D511" t="s">
        <v>45</v>
      </c>
      <c r="E511" t="s">
        <v>387</v>
      </c>
      <c r="F511" t="s">
        <v>386</v>
      </c>
      <c r="AD511">
        <v>458815.48</v>
      </c>
      <c r="AE511">
        <v>229407.74</v>
      </c>
    </row>
    <row r="512" spans="1:58" x14ac:dyDescent="0.3">
      <c r="A512" t="s">
        <v>19</v>
      </c>
      <c r="B512" t="s">
        <v>313</v>
      </c>
      <c r="C512" t="s">
        <v>312</v>
      </c>
      <c r="D512" t="s">
        <v>31</v>
      </c>
      <c r="E512" t="s">
        <v>387</v>
      </c>
      <c r="F512" t="s">
        <v>384</v>
      </c>
      <c r="AO512">
        <v>458815.48</v>
      </c>
      <c r="AP512">
        <v>229407.74</v>
      </c>
    </row>
    <row r="513" spans="1:46" x14ac:dyDescent="0.3">
      <c r="A513" t="s">
        <v>19</v>
      </c>
      <c r="B513" t="s">
        <v>313</v>
      </c>
      <c r="C513" t="s">
        <v>312</v>
      </c>
      <c r="D513" t="s">
        <v>31</v>
      </c>
      <c r="E513" t="s">
        <v>387</v>
      </c>
      <c r="F513" t="s">
        <v>385</v>
      </c>
    </row>
    <row r="514" spans="1:46" x14ac:dyDescent="0.3">
      <c r="A514" t="s">
        <v>19</v>
      </c>
      <c r="B514" t="s">
        <v>313</v>
      </c>
      <c r="C514" t="s">
        <v>312</v>
      </c>
      <c r="D514" t="s">
        <v>31</v>
      </c>
      <c r="E514" t="s">
        <v>387</v>
      </c>
      <c r="F514" t="s">
        <v>386</v>
      </c>
      <c r="AO514">
        <v>458815.48</v>
      </c>
      <c r="AP514">
        <v>229407.74</v>
      </c>
    </row>
    <row r="515" spans="1:46" x14ac:dyDescent="0.3">
      <c r="A515" t="s">
        <v>19</v>
      </c>
      <c r="B515" t="s">
        <v>316</v>
      </c>
      <c r="C515" t="s">
        <v>312</v>
      </c>
      <c r="D515" t="s">
        <v>61</v>
      </c>
      <c r="E515" t="s">
        <v>387</v>
      </c>
      <c r="F515" t="s">
        <v>384</v>
      </c>
      <c r="AL515">
        <v>573519.35</v>
      </c>
      <c r="AM515">
        <v>114703.87</v>
      </c>
    </row>
    <row r="516" spans="1:46" x14ac:dyDescent="0.3">
      <c r="A516" t="s">
        <v>19</v>
      </c>
      <c r="B516" t="s">
        <v>316</v>
      </c>
      <c r="C516" t="s">
        <v>312</v>
      </c>
      <c r="D516" t="s">
        <v>61</v>
      </c>
      <c r="E516" t="s">
        <v>387</v>
      </c>
      <c r="F516" t="s">
        <v>385</v>
      </c>
    </row>
    <row r="517" spans="1:46" x14ac:dyDescent="0.3">
      <c r="A517" t="s">
        <v>19</v>
      </c>
      <c r="B517" t="s">
        <v>316</v>
      </c>
      <c r="C517" t="s">
        <v>312</v>
      </c>
      <c r="D517" t="s">
        <v>61</v>
      </c>
      <c r="E517" t="s">
        <v>387</v>
      </c>
      <c r="F517" t="s">
        <v>386</v>
      </c>
      <c r="AL517">
        <v>573519.35</v>
      </c>
      <c r="AM517">
        <v>114703.87</v>
      </c>
    </row>
    <row r="518" spans="1:46" x14ac:dyDescent="0.3">
      <c r="A518" t="s">
        <v>19</v>
      </c>
      <c r="B518" t="s">
        <v>319</v>
      </c>
      <c r="C518" t="s">
        <v>312</v>
      </c>
      <c r="D518" t="s">
        <v>64</v>
      </c>
      <c r="E518" t="s">
        <v>387</v>
      </c>
      <c r="F518" t="s">
        <v>384</v>
      </c>
      <c r="AM518">
        <v>229407.74</v>
      </c>
      <c r="AN518">
        <v>458815.48</v>
      </c>
    </row>
    <row r="519" spans="1:46" x14ac:dyDescent="0.3">
      <c r="A519" t="s">
        <v>19</v>
      </c>
      <c r="B519" t="s">
        <v>319</v>
      </c>
      <c r="C519" t="s">
        <v>312</v>
      </c>
      <c r="D519" t="s">
        <v>64</v>
      </c>
      <c r="E519" t="s">
        <v>387</v>
      </c>
      <c r="F519" t="s">
        <v>385</v>
      </c>
    </row>
    <row r="520" spans="1:46" x14ac:dyDescent="0.3">
      <c r="A520" t="s">
        <v>19</v>
      </c>
      <c r="B520" t="s">
        <v>319</v>
      </c>
      <c r="C520" t="s">
        <v>312</v>
      </c>
      <c r="D520" t="s">
        <v>64</v>
      </c>
      <c r="E520" t="s">
        <v>387</v>
      </c>
      <c r="F520" t="s">
        <v>386</v>
      </c>
      <c r="AM520">
        <v>229407.74</v>
      </c>
      <c r="AN520">
        <v>458815.48</v>
      </c>
    </row>
    <row r="521" spans="1:46" x14ac:dyDescent="0.3">
      <c r="A521" t="s">
        <v>19</v>
      </c>
      <c r="B521" t="s">
        <v>321</v>
      </c>
      <c r="C521" t="s">
        <v>312</v>
      </c>
      <c r="D521" t="s">
        <v>35</v>
      </c>
      <c r="E521" t="s">
        <v>387</v>
      </c>
      <c r="F521" t="s">
        <v>384</v>
      </c>
      <c r="AS521">
        <v>458815.48</v>
      </c>
      <c r="AT521">
        <v>229407.74</v>
      </c>
    </row>
    <row r="522" spans="1:46" x14ac:dyDescent="0.3">
      <c r="A522" t="s">
        <v>19</v>
      </c>
      <c r="B522" t="s">
        <v>321</v>
      </c>
      <c r="C522" t="s">
        <v>312</v>
      </c>
      <c r="D522" t="s">
        <v>35</v>
      </c>
      <c r="E522" t="s">
        <v>387</v>
      </c>
      <c r="F522" t="s">
        <v>385</v>
      </c>
    </row>
    <row r="523" spans="1:46" x14ac:dyDescent="0.3">
      <c r="A523" t="s">
        <v>19</v>
      </c>
      <c r="B523" t="s">
        <v>321</v>
      </c>
      <c r="C523" t="s">
        <v>312</v>
      </c>
      <c r="D523" t="s">
        <v>35</v>
      </c>
      <c r="E523" t="s">
        <v>387</v>
      </c>
      <c r="F523" t="s">
        <v>386</v>
      </c>
      <c r="AS523">
        <v>458815.48</v>
      </c>
      <c r="AT523">
        <v>229407.74</v>
      </c>
    </row>
    <row r="524" spans="1:46" x14ac:dyDescent="0.3">
      <c r="A524" t="s">
        <v>19</v>
      </c>
      <c r="B524" t="s">
        <v>324</v>
      </c>
      <c r="C524" t="s">
        <v>312</v>
      </c>
      <c r="D524" t="s">
        <v>45</v>
      </c>
      <c r="E524" t="s">
        <v>387</v>
      </c>
      <c r="F524" t="s">
        <v>384</v>
      </c>
      <c r="AJ524">
        <v>229407.74</v>
      </c>
      <c r="AK524">
        <v>458815.48</v>
      </c>
    </row>
    <row r="525" spans="1:46" x14ac:dyDescent="0.3">
      <c r="A525" t="s">
        <v>19</v>
      </c>
      <c r="B525" t="s">
        <v>324</v>
      </c>
      <c r="C525" t="s">
        <v>312</v>
      </c>
      <c r="D525" t="s">
        <v>45</v>
      </c>
      <c r="E525" t="s">
        <v>387</v>
      </c>
      <c r="F525" t="s">
        <v>385</v>
      </c>
    </row>
    <row r="526" spans="1:46" x14ac:dyDescent="0.3">
      <c r="A526" t="s">
        <v>19</v>
      </c>
      <c r="B526" t="s">
        <v>324</v>
      </c>
      <c r="C526" t="s">
        <v>312</v>
      </c>
      <c r="D526" t="s">
        <v>45</v>
      </c>
      <c r="E526" t="s">
        <v>387</v>
      </c>
      <c r="F526" t="s">
        <v>386</v>
      </c>
      <c r="AJ526">
        <v>229407.74</v>
      </c>
      <c r="AK526">
        <v>458815.48</v>
      </c>
    </row>
    <row r="527" spans="1:46" x14ac:dyDescent="0.3">
      <c r="A527" t="s">
        <v>19</v>
      </c>
      <c r="B527" t="s">
        <v>327</v>
      </c>
      <c r="C527" t="s">
        <v>312</v>
      </c>
      <c r="D527" t="s">
        <v>31</v>
      </c>
      <c r="E527" t="s">
        <v>387</v>
      </c>
      <c r="F527" t="s">
        <v>384</v>
      </c>
      <c r="AS527">
        <v>229407.74</v>
      </c>
      <c r="AT527">
        <v>458815.48</v>
      </c>
    </row>
    <row r="528" spans="1:46" x14ac:dyDescent="0.3">
      <c r="A528" t="s">
        <v>19</v>
      </c>
      <c r="B528" t="s">
        <v>327</v>
      </c>
      <c r="C528" t="s">
        <v>312</v>
      </c>
      <c r="D528" t="s">
        <v>31</v>
      </c>
      <c r="E528" t="s">
        <v>387</v>
      </c>
      <c r="F528" t="s">
        <v>385</v>
      </c>
    </row>
    <row r="529" spans="1:50" x14ac:dyDescent="0.3">
      <c r="A529" t="s">
        <v>19</v>
      </c>
      <c r="B529" t="s">
        <v>327</v>
      </c>
      <c r="C529" t="s">
        <v>312</v>
      </c>
      <c r="D529" t="s">
        <v>31</v>
      </c>
      <c r="E529" t="s">
        <v>387</v>
      </c>
      <c r="F529" t="s">
        <v>386</v>
      </c>
      <c r="AS529">
        <v>229407.74</v>
      </c>
      <c r="AT529">
        <v>458815.48</v>
      </c>
    </row>
    <row r="530" spans="1:50" x14ac:dyDescent="0.3">
      <c r="A530" t="s">
        <v>19</v>
      </c>
      <c r="B530" t="s">
        <v>330</v>
      </c>
      <c r="C530" t="s">
        <v>312</v>
      </c>
      <c r="D530" t="s">
        <v>61</v>
      </c>
      <c r="E530" t="s">
        <v>387</v>
      </c>
      <c r="F530" t="s">
        <v>384</v>
      </c>
      <c r="AP530">
        <v>344111.61</v>
      </c>
      <c r="AQ530">
        <v>344111.61</v>
      </c>
    </row>
    <row r="531" spans="1:50" x14ac:dyDescent="0.3">
      <c r="A531" t="s">
        <v>19</v>
      </c>
      <c r="B531" t="s">
        <v>330</v>
      </c>
      <c r="C531" t="s">
        <v>312</v>
      </c>
      <c r="D531" t="s">
        <v>61</v>
      </c>
      <c r="E531" t="s">
        <v>387</v>
      </c>
      <c r="F531" t="s">
        <v>385</v>
      </c>
    </row>
    <row r="532" spans="1:50" x14ac:dyDescent="0.3">
      <c r="A532" t="s">
        <v>19</v>
      </c>
      <c r="B532" t="s">
        <v>330</v>
      </c>
      <c r="C532" t="s">
        <v>312</v>
      </c>
      <c r="D532" t="s">
        <v>61</v>
      </c>
      <c r="E532" t="s">
        <v>387</v>
      </c>
      <c r="F532" t="s">
        <v>386</v>
      </c>
      <c r="AP532">
        <v>344111.61</v>
      </c>
      <c r="AQ532">
        <v>344111.61</v>
      </c>
    </row>
    <row r="533" spans="1:50" x14ac:dyDescent="0.3">
      <c r="A533" t="s">
        <v>19</v>
      </c>
      <c r="B533" t="s">
        <v>333</v>
      </c>
      <c r="C533" t="s">
        <v>312</v>
      </c>
      <c r="D533" t="s">
        <v>64</v>
      </c>
      <c r="E533" t="s">
        <v>387</v>
      </c>
      <c r="F533" t="s">
        <v>384</v>
      </c>
      <c r="AR533">
        <v>688223.22</v>
      </c>
    </row>
    <row r="534" spans="1:50" x14ac:dyDescent="0.3">
      <c r="A534" t="s">
        <v>19</v>
      </c>
      <c r="B534" t="s">
        <v>333</v>
      </c>
      <c r="C534" t="s">
        <v>312</v>
      </c>
      <c r="D534" t="s">
        <v>64</v>
      </c>
      <c r="E534" t="s">
        <v>387</v>
      </c>
      <c r="F534" t="s">
        <v>385</v>
      </c>
    </row>
    <row r="535" spans="1:50" x14ac:dyDescent="0.3">
      <c r="A535" t="s">
        <v>19</v>
      </c>
      <c r="B535" t="s">
        <v>333</v>
      </c>
      <c r="C535" t="s">
        <v>312</v>
      </c>
      <c r="D535" t="s">
        <v>64</v>
      </c>
      <c r="E535" t="s">
        <v>387</v>
      </c>
      <c r="F535" t="s">
        <v>386</v>
      </c>
      <c r="AR535">
        <v>688223.22</v>
      </c>
    </row>
    <row r="536" spans="1:50" x14ac:dyDescent="0.3">
      <c r="A536" t="s">
        <v>19</v>
      </c>
      <c r="B536" t="s">
        <v>335</v>
      </c>
      <c r="C536" t="s">
        <v>312</v>
      </c>
      <c r="D536" t="s">
        <v>35</v>
      </c>
      <c r="E536" t="s">
        <v>387</v>
      </c>
      <c r="F536" t="s">
        <v>384</v>
      </c>
      <c r="AW536">
        <v>229407.74</v>
      </c>
      <c r="AX536">
        <v>458815.48</v>
      </c>
    </row>
    <row r="537" spans="1:50" x14ac:dyDescent="0.3">
      <c r="A537" t="s">
        <v>19</v>
      </c>
      <c r="B537" t="s">
        <v>335</v>
      </c>
      <c r="C537" t="s">
        <v>312</v>
      </c>
      <c r="D537" t="s">
        <v>35</v>
      </c>
      <c r="E537" t="s">
        <v>387</v>
      </c>
      <c r="F537" t="s">
        <v>385</v>
      </c>
    </row>
    <row r="538" spans="1:50" x14ac:dyDescent="0.3">
      <c r="A538" t="s">
        <v>19</v>
      </c>
      <c r="B538" t="s">
        <v>335</v>
      </c>
      <c r="C538" t="s">
        <v>312</v>
      </c>
      <c r="D538" t="s">
        <v>35</v>
      </c>
      <c r="E538" t="s">
        <v>387</v>
      </c>
      <c r="F538" t="s">
        <v>386</v>
      </c>
      <c r="AW538">
        <v>229407.74</v>
      </c>
      <c r="AX538">
        <v>458815.48</v>
      </c>
    </row>
    <row r="539" spans="1:50" x14ac:dyDescent="0.3">
      <c r="A539" t="s">
        <v>19</v>
      </c>
      <c r="B539" t="s">
        <v>338</v>
      </c>
      <c r="C539" t="s">
        <v>312</v>
      </c>
      <c r="D539" t="s">
        <v>45</v>
      </c>
      <c r="E539" t="s">
        <v>387</v>
      </c>
      <c r="F539" t="s">
        <v>384</v>
      </c>
      <c r="AO539">
        <v>688223.22</v>
      </c>
    </row>
    <row r="540" spans="1:50" x14ac:dyDescent="0.3">
      <c r="A540" t="s">
        <v>19</v>
      </c>
      <c r="B540" t="s">
        <v>338</v>
      </c>
      <c r="C540" t="s">
        <v>312</v>
      </c>
      <c r="D540" t="s">
        <v>45</v>
      </c>
      <c r="E540" t="s">
        <v>387</v>
      </c>
      <c r="F540" t="s">
        <v>385</v>
      </c>
    </row>
    <row r="541" spans="1:50" x14ac:dyDescent="0.3">
      <c r="A541" t="s">
        <v>19</v>
      </c>
      <c r="B541" t="s">
        <v>338</v>
      </c>
      <c r="C541" t="s">
        <v>312</v>
      </c>
      <c r="D541" t="s">
        <v>45</v>
      </c>
      <c r="E541" t="s">
        <v>387</v>
      </c>
      <c r="F541" t="s">
        <v>386</v>
      </c>
      <c r="AO541">
        <v>688223.22</v>
      </c>
    </row>
    <row r="542" spans="1:50" x14ac:dyDescent="0.3">
      <c r="A542" t="s">
        <v>19</v>
      </c>
      <c r="B542" t="s">
        <v>342</v>
      </c>
      <c r="C542" t="s">
        <v>312</v>
      </c>
      <c r="D542" t="s">
        <v>31</v>
      </c>
      <c r="E542" t="s">
        <v>387</v>
      </c>
      <c r="F542" t="s">
        <v>384</v>
      </c>
      <c r="AX542">
        <v>688223.22</v>
      </c>
    </row>
    <row r="543" spans="1:50" x14ac:dyDescent="0.3">
      <c r="A543" t="s">
        <v>19</v>
      </c>
      <c r="B543" t="s">
        <v>342</v>
      </c>
      <c r="C543" t="s">
        <v>312</v>
      </c>
      <c r="D543" t="s">
        <v>31</v>
      </c>
      <c r="E543" t="s">
        <v>387</v>
      </c>
      <c r="F543" t="s">
        <v>385</v>
      </c>
    </row>
    <row r="544" spans="1:50" x14ac:dyDescent="0.3">
      <c r="A544" t="s">
        <v>19</v>
      </c>
      <c r="B544" t="s">
        <v>342</v>
      </c>
      <c r="C544" t="s">
        <v>312</v>
      </c>
      <c r="D544" t="s">
        <v>31</v>
      </c>
      <c r="E544" t="s">
        <v>387</v>
      </c>
      <c r="F544" t="s">
        <v>386</v>
      </c>
      <c r="AX544">
        <v>688223.22</v>
      </c>
    </row>
    <row r="545" spans="1:55" x14ac:dyDescent="0.3">
      <c r="A545" t="s">
        <v>19</v>
      </c>
      <c r="B545" t="s">
        <v>345</v>
      </c>
      <c r="C545" t="s">
        <v>312</v>
      </c>
      <c r="D545" t="s">
        <v>61</v>
      </c>
      <c r="E545" t="s">
        <v>387</v>
      </c>
      <c r="F545" t="s">
        <v>384</v>
      </c>
      <c r="AT545">
        <v>114703.87</v>
      </c>
      <c r="AU545">
        <v>573519.35</v>
      </c>
    </row>
    <row r="546" spans="1:55" x14ac:dyDescent="0.3">
      <c r="A546" t="s">
        <v>19</v>
      </c>
      <c r="B546" t="s">
        <v>345</v>
      </c>
      <c r="C546" t="s">
        <v>312</v>
      </c>
      <c r="D546" t="s">
        <v>61</v>
      </c>
      <c r="E546" t="s">
        <v>387</v>
      </c>
      <c r="F546" t="s">
        <v>385</v>
      </c>
    </row>
    <row r="547" spans="1:55" x14ac:dyDescent="0.3">
      <c r="A547" t="s">
        <v>19</v>
      </c>
      <c r="B547" t="s">
        <v>345</v>
      </c>
      <c r="C547" t="s">
        <v>312</v>
      </c>
      <c r="D547" t="s">
        <v>61</v>
      </c>
      <c r="E547" t="s">
        <v>387</v>
      </c>
      <c r="F547" t="s">
        <v>386</v>
      </c>
      <c r="AT547">
        <v>114703.87</v>
      </c>
      <c r="AU547">
        <v>573519.35</v>
      </c>
    </row>
    <row r="548" spans="1:55" x14ac:dyDescent="0.3">
      <c r="A548" t="s">
        <v>19</v>
      </c>
      <c r="B548" t="s">
        <v>348</v>
      </c>
      <c r="C548" t="s">
        <v>312</v>
      </c>
      <c r="D548" t="s">
        <v>64</v>
      </c>
      <c r="E548" t="s">
        <v>387</v>
      </c>
      <c r="F548" t="s">
        <v>384</v>
      </c>
      <c r="AV548">
        <v>573519.35</v>
      </c>
      <c r="AW548">
        <v>114703.87</v>
      </c>
    </row>
    <row r="549" spans="1:55" x14ac:dyDescent="0.3">
      <c r="A549" t="s">
        <v>19</v>
      </c>
      <c r="B549" t="s">
        <v>348</v>
      </c>
      <c r="C549" t="s">
        <v>312</v>
      </c>
      <c r="D549" t="s">
        <v>64</v>
      </c>
      <c r="E549" t="s">
        <v>387</v>
      </c>
      <c r="F549" t="s">
        <v>385</v>
      </c>
    </row>
    <row r="550" spans="1:55" x14ac:dyDescent="0.3">
      <c r="A550" t="s">
        <v>19</v>
      </c>
      <c r="B550" t="s">
        <v>348</v>
      </c>
      <c r="C550" t="s">
        <v>312</v>
      </c>
      <c r="D550" t="s">
        <v>64</v>
      </c>
      <c r="E550" t="s">
        <v>387</v>
      </c>
      <c r="F550" t="s">
        <v>386</v>
      </c>
      <c r="AV550">
        <v>573519.35</v>
      </c>
      <c r="AW550">
        <v>114703.87</v>
      </c>
    </row>
    <row r="551" spans="1:55" x14ac:dyDescent="0.3">
      <c r="A551" t="s">
        <v>19</v>
      </c>
      <c r="B551" t="s">
        <v>350</v>
      </c>
      <c r="C551" t="s">
        <v>312</v>
      </c>
      <c r="D551" t="s">
        <v>35</v>
      </c>
      <c r="E551" t="s">
        <v>387</v>
      </c>
      <c r="F551" t="s">
        <v>384</v>
      </c>
      <c r="BB551">
        <v>688223.22</v>
      </c>
    </row>
    <row r="552" spans="1:55" x14ac:dyDescent="0.3">
      <c r="A552" t="s">
        <v>19</v>
      </c>
      <c r="B552" t="s">
        <v>350</v>
      </c>
      <c r="C552" t="s">
        <v>312</v>
      </c>
      <c r="D552" t="s">
        <v>35</v>
      </c>
      <c r="E552" t="s">
        <v>387</v>
      </c>
      <c r="F552" t="s">
        <v>385</v>
      </c>
    </row>
    <row r="553" spans="1:55" x14ac:dyDescent="0.3">
      <c r="A553" t="s">
        <v>19</v>
      </c>
      <c r="B553" t="s">
        <v>350</v>
      </c>
      <c r="C553" t="s">
        <v>312</v>
      </c>
      <c r="D553" t="s">
        <v>35</v>
      </c>
      <c r="E553" t="s">
        <v>387</v>
      </c>
      <c r="F553" t="s">
        <v>386</v>
      </c>
      <c r="BB553">
        <v>688223.22</v>
      </c>
    </row>
    <row r="554" spans="1:55" x14ac:dyDescent="0.3">
      <c r="A554" t="s">
        <v>19</v>
      </c>
      <c r="B554" t="s">
        <v>353</v>
      </c>
      <c r="C554" t="s">
        <v>312</v>
      </c>
      <c r="D554" t="s">
        <v>45</v>
      </c>
      <c r="E554" t="s">
        <v>387</v>
      </c>
      <c r="F554" t="s">
        <v>384</v>
      </c>
      <c r="AS554">
        <v>573519.35</v>
      </c>
      <c r="AT554">
        <v>114703.87</v>
      </c>
    </row>
    <row r="555" spans="1:55" x14ac:dyDescent="0.3">
      <c r="A555" t="s">
        <v>19</v>
      </c>
      <c r="B555" t="s">
        <v>353</v>
      </c>
      <c r="C555" t="s">
        <v>312</v>
      </c>
      <c r="D555" t="s">
        <v>45</v>
      </c>
      <c r="E555" t="s">
        <v>387</v>
      </c>
      <c r="F555" t="s">
        <v>385</v>
      </c>
    </row>
    <row r="556" spans="1:55" x14ac:dyDescent="0.3">
      <c r="A556" t="s">
        <v>19</v>
      </c>
      <c r="B556" t="s">
        <v>353</v>
      </c>
      <c r="C556" t="s">
        <v>312</v>
      </c>
      <c r="D556" t="s">
        <v>45</v>
      </c>
      <c r="E556" t="s">
        <v>387</v>
      </c>
      <c r="F556" t="s">
        <v>386</v>
      </c>
      <c r="AS556">
        <v>573519.35</v>
      </c>
      <c r="AT556">
        <v>114703.87</v>
      </c>
    </row>
    <row r="557" spans="1:55" x14ac:dyDescent="0.3">
      <c r="A557" t="s">
        <v>19</v>
      </c>
      <c r="B557" t="s">
        <v>356</v>
      </c>
      <c r="C557" t="s">
        <v>312</v>
      </c>
      <c r="D557" t="s">
        <v>31</v>
      </c>
      <c r="E557" t="s">
        <v>387</v>
      </c>
      <c r="F557" t="s">
        <v>384</v>
      </c>
      <c r="BB557">
        <v>573519.35</v>
      </c>
      <c r="BC557">
        <v>114703.87</v>
      </c>
    </row>
    <row r="558" spans="1:55" x14ac:dyDescent="0.3">
      <c r="A558" t="s">
        <v>19</v>
      </c>
      <c r="B558" t="s">
        <v>356</v>
      </c>
      <c r="C558" t="s">
        <v>312</v>
      </c>
      <c r="D558" t="s">
        <v>31</v>
      </c>
      <c r="E558" t="s">
        <v>387</v>
      </c>
      <c r="F558" t="s">
        <v>385</v>
      </c>
    </row>
    <row r="559" spans="1:55" x14ac:dyDescent="0.3">
      <c r="A559" t="s">
        <v>19</v>
      </c>
      <c r="B559" t="s">
        <v>356</v>
      </c>
      <c r="C559" t="s">
        <v>312</v>
      </c>
      <c r="D559" t="s">
        <v>31</v>
      </c>
      <c r="E559" t="s">
        <v>387</v>
      </c>
      <c r="F559" t="s">
        <v>386</v>
      </c>
      <c r="BB559">
        <v>573519.35</v>
      </c>
      <c r="BC559">
        <v>114703.87</v>
      </c>
    </row>
    <row r="560" spans="1:55" x14ac:dyDescent="0.3">
      <c r="A560" t="s">
        <v>19</v>
      </c>
      <c r="B560" t="s">
        <v>359</v>
      </c>
      <c r="C560" t="s">
        <v>312</v>
      </c>
      <c r="D560" t="s">
        <v>61</v>
      </c>
      <c r="E560" t="s">
        <v>387</v>
      </c>
      <c r="F560" t="s">
        <v>384</v>
      </c>
      <c r="AY560">
        <v>688223.22</v>
      </c>
    </row>
    <row r="561" spans="1:59" x14ac:dyDescent="0.3">
      <c r="A561" t="s">
        <v>19</v>
      </c>
      <c r="B561" t="s">
        <v>359</v>
      </c>
      <c r="C561" t="s">
        <v>312</v>
      </c>
      <c r="D561" t="s">
        <v>61</v>
      </c>
      <c r="E561" t="s">
        <v>387</v>
      </c>
      <c r="F561" t="s">
        <v>385</v>
      </c>
    </row>
    <row r="562" spans="1:59" x14ac:dyDescent="0.3">
      <c r="A562" t="s">
        <v>19</v>
      </c>
      <c r="B562" t="s">
        <v>359</v>
      </c>
      <c r="C562" t="s">
        <v>312</v>
      </c>
      <c r="D562" t="s">
        <v>61</v>
      </c>
      <c r="E562" t="s">
        <v>387</v>
      </c>
      <c r="F562" t="s">
        <v>386</v>
      </c>
      <c r="AY562">
        <v>688223.22</v>
      </c>
    </row>
    <row r="563" spans="1:59" x14ac:dyDescent="0.3">
      <c r="A563" t="s">
        <v>19</v>
      </c>
      <c r="B563" t="s">
        <v>362</v>
      </c>
      <c r="C563" t="s">
        <v>312</v>
      </c>
      <c r="D563" t="s">
        <v>64</v>
      </c>
      <c r="E563" t="s">
        <v>387</v>
      </c>
      <c r="F563" t="s">
        <v>384</v>
      </c>
      <c r="AZ563">
        <v>344111.61</v>
      </c>
      <c r="BA563">
        <v>344111.61</v>
      </c>
    </row>
    <row r="564" spans="1:59" x14ac:dyDescent="0.3">
      <c r="A564" t="s">
        <v>19</v>
      </c>
      <c r="B564" t="s">
        <v>362</v>
      </c>
      <c r="C564" t="s">
        <v>312</v>
      </c>
      <c r="D564" t="s">
        <v>64</v>
      </c>
      <c r="E564" t="s">
        <v>387</v>
      </c>
      <c r="F564" t="s">
        <v>385</v>
      </c>
    </row>
    <row r="565" spans="1:59" x14ac:dyDescent="0.3">
      <c r="A565" t="s">
        <v>19</v>
      </c>
      <c r="B565" t="s">
        <v>362</v>
      </c>
      <c r="C565" t="s">
        <v>312</v>
      </c>
      <c r="D565" t="s">
        <v>64</v>
      </c>
      <c r="E565" t="s">
        <v>387</v>
      </c>
      <c r="F565" t="s">
        <v>386</v>
      </c>
      <c r="AZ565">
        <v>344111.61</v>
      </c>
      <c r="BA565">
        <v>344111.61</v>
      </c>
    </row>
    <row r="566" spans="1:59" x14ac:dyDescent="0.3">
      <c r="A566" t="s">
        <v>19</v>
      </c>
      <c r="B566" t="s">
        <v>364</v>
      </c>
      <c r="C566" t="s">
        <v>312</v>
      </c>
      <c r="D566" t="s">
        <v>35</v>
      </c>
      <c r="E566" t="s">
        <v>387</v>
      </c>
      <c r="F566" t="s">
        <v>384</v>
      </c>
      <c r="BF566">
        <v>573519.35</v>
      </c>
      <c r="BG566">
        <v>114703.87</v>
      </c>
    </row>
    <row r="567" spans="1:59" x14ac:dyDescent="0.3">
      <c r="A567" t="s">
        <v>19</v>
      </c>
      <c r="B567" t="s">
        <v>364</v>
      </c>
      <c r="C567" t="s">
        <v>312</v>
      </c>
      <c r="D567" t="s">
        <v>35</v>
      </c>
      <c r="E567" t="s">
        <v>387</v>
      </c>
      <c r="F567" t="s">
        <v>385</v>
      </c>
    </row>
    <row r="568" spans="1:59" x14ac:dyDescent="0.3">
      <c r="A568" t="s">
        <v>19</v>
      </c>
      <c r="B568" t="s">
        <v>364</v>
      </c>
      <c r="C568" t="s">
        <v>312</v>
      </c>
      <c r="D568" t="s">
        <v>35</v>
      </c>
      <c r="E568" t="s">
        <v>387</v>
      </c>
      <c r="F568" t="s">
        <v>386</v>
      </c>
      <c r="BF568">
        <v>573519.35</v>
      </c>
      <c r="BG568">
        <v>114703.87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568"/>
  <sheetViews>
    <sheetView workbookViewId="0">
      <selection activeCell="C1" sqref="C1:D1048576"/>
    </sheetView>
  </sheetViews>
  <sheetFormatPr defaultRowHeight="14.4" x14ac:dyDescent="0.3"/>
  <cols>
    <col min="2" max="2" width="10.88671875" bestFit="1" customWidth="1"/>
    <col min="3" max="4" width="9.5546875" customWidth="1"/>
  </cols>
  <sheetData>
    <row r="1" spans="1:63" x14ac:dyDescent="0.3">
      <c r="A1" t="s">
        <v>0</v>
      </c>
      <c r="B1" t="s">
        <v>1</v>
      </c>
      <c r="C1" t="s">
        <v>5</v>
      </c>
      <c r="D1" t="s">
        <v>6</v>
      </c>
      <c r="E1" t="s">
        <v>381</v>
      </c>
      <c r="F1" t="s">
        <v>382</v>
      </c>
      <c r="G1" s="1">
        <v>44927</v>
      </c>
      <c r="H1" s="1">
        <v>44934</v>
      </c>
      <c r="I1" s="1">
        <v>44941</v>
      </c>
      <c r="J1" s="1">
        <v>44948</v>
      </c>
      <c r="K1" s="1">
        <v>44955</v>
      </c>
      <c r="L1" s="1">
        <v>44962</v>
      </c>
      <c r="M1" s="1">
        <v>44969</v>
      </c>
      <c r="N1" s="1">
        <v>44976</v>
      </c>
      <c r="O1" s="1">
        <v>44983</v>
      </c>
      <c r="P1" s="1">
        <v>44990</v>
      </c>
      <c r="Q1" s="1">
        <v>44997</v>
      </c>
      <c r="R1" s="1">
        <v>45004</v>
      </c>
      <c r="S1" s="1">
        <v>45011</v>
      </c>
      <c r="T1" s="1">
        <v>45018</v>
      </c>
      <c r="U1" s="1">
        <v>45025</v>
      </c>
      <c r="V1" s="1">
        <v>45032</v>
      </c>
      <c r="W1" s="1">
        <v>45039</v>
      </c>
      <c r="X1" s="1">
        <v>45046</v>
      </c>
      <c r="Y1" s="1">
        <v>45053</v>
      </c>
      <c r="Z1" s="1">
        <v>45060</v>
      </c>
      <c r="AA1" s="1">
        <v>45067</v>
      </c>
      <c r="AB1" s="1">
        <v>45074</v>
      </c>
      <c r="AC1" s="1">
        <v>45081</v>
      </c>
      <c r="AD1" s="1">
        <v>45088</v>
      </c>
      <c r="AE1" s="1">
        <v>45095</v>
      </c>
      <c r="AF1" s="1">
        <v>45102</v>
      </c>
      <c r="AG1" s="1">
        <v>45109</v>
      </c>
      <c r="AH1" s="1">
        <v>45116</v>
      </c>
      <c r="AI1" s="1">
        <v>45123</v>
      </c>
      <c r="AJ1" s="1">
        <v>45130</v>
      </c>
      <c r="AK1" s="1">
        <v>45137</v>
      </c>
      <c r="AL1" s="1">
        <v>45144</v>
      </c>
      <c r="AM1" s="1">
        <v>45151</v>
      </c>
      <c r="AN1" s="1">
        <v>45158</v>
      </c>
      <c r="AO1" s="1">
        <v>45165</v>
      </c>
      <c r="AP1" s="1">
        <v>45172</v>
      </c>
      <c r="AQ1" s="1">
        <v>45179</v>
      </c>
      <c r="AR1" s="1">
        <v>45186</v>
      </c>
      <c r="AS1" s="1">
        <v>45193</v>
      </c>
      <c r="AT1" s="1">
        <v>45200</v>
      </c>
      <c r="AU1" s="1">
        <v>45207</v>
      </c>
      <c r="AV1" s="1">
        <v>45214</v>
      </c>
      <c r="AW1" s="1">
        <v>45221</v>
      </c>
      <c r="AX1" s="1">
        <v>45228</v>
      </c>
      <c r="AY1" s="1">
        <v>45235</v>
      </c>
      <c r="AZ1" s="1">
        <v>45242</v>
      </c>
      <c r="BA1" s="1">
        <v>45249</v>
      </c>
      <c r="BB1" s="1">
        <v>45256</v>
      </c>
      <c r="BC1" s="1">
        <v>45263</v>
      </c>
      <c r="BD1" s="1">
        <v>45270</v>
      </c>
      <c r="BE1" s="1">
        <v>45277</v>
      </c>
      <c r="BF1" s="1">
        <v>45284</v>
      </c>
      <c r="BG1" s="1">
        <v>45291</v>
      </c>
      <c r="BH1" s="1">
        <v>45298</v>
      </c>
      <c r="BI1" s="1">
        <v>45305</v>
      </c>
      <c r="BJ1" s="1">
        <v>45312</v>
      </c>
      <c r="BK1" s="1">
        <v>45319</v>
      </c>
    </row>
    <row r="2" spans="1:63" x14ac:dyDescent="0.3">
      <c r="A2" t="s">
        <v>19</v>
      </c>
      <c r="B2" t="s">
        <v>125</v>
      </c>
      <c r="C2" t="s">
        <v>128</v>
      </c>
      <c r="D2" t="s">
        <v>40</v>
      </c>
      <c r="E2" t="s">
        <v>383</v>
      </c>
      <c r="F2" t="s">
        <v>384</v>
      </c>
      <c r="AB2">
        <v>13720962.130000001</v>
      </c>
      <c r="AC2">
        <v>6860481.0700000003</v>
      </c>
    </row>
    <row r="3" spans="1:63" x14ac:dyDescent="0.3">
      <c r="A3" t="s">
        <v>19</v>
      </c>
      <c r="B3" t="s">
        <v>125</v>
      </c>
      <c r="C3" t="s">
        <v>128</v>
      </c>
      <c r="D3" t="s">
        <v>40</v>
      </c>
      <c r="E3" t="s">
        <v>383</v>
      </c>
      <c r="F3" t="s">
        <v>385</v>
      </c>
      <c r="AD3">
        <v>20581443.199999999</v>
      </c>
    </row>
    <row r="4" spans="1:63" x14ac:dyDescent="0.3">
      <c r="A4" t="s">
        <v>19</v>
      </c>
      <c r="B4" t="s">
        <v>125</v>
      </c>
      <c r="C4" t="s">
        <v>128</v>
      </c>
      <c r="D4" t="s">
        <v>40</v>
      </c>
      <c r="E4" t="s">
        <v>383</v>
      </c>
      <c r="F4" t="s">
        <v>386</v>
      </c>
    </row>
    <row r="5" spans="1:63" x14ac:dyDescent="0.3">
      <c r="A5" t="s">
        <v>19</v>
      </c>
      <c r="B5" t="s">
        <v>131</v>
      </c>
      <c r="C5" t="s">
        <v>128</v>
      </c>
      <c r="D5" t="s">
        <v>40</v>
      </c>
      <c r="E5" t="s">
        <v>383</v>
      </c>
      <c r="F5" t="s">
        <v>384</v>
      </c>
      <c r="AI5">
        <v>6068664.7999999998</v>
      </c>
    </row>
    <row r="6" spans="1:63" x14ac:dyDescent="0.3">
      <c r="A6" t="s">
        <v>19</v>
      </c>
      <c r="B6" t="s">
        <v>131</v>
      </c>
      <c r="C6" t="s">
        <v>128</v>
      </c>
      <c r="D6" t="s">
        <v>40</v>
      </c>
      <c r="E6" t="s">
        <v>383</v>
      </c>
      <c r="F6" t="s">
        <v>385</v>
      </c>
      <c r="AJ6">
        <v>6068664.7999999998</v>
      </c>
    </row>
    <row r="7" spans="1:63" x14ac:dyDescent="0.3">
      <c r="A7" t="s">
        <v>19</v>
      </c>
      <c r="B7" t="s">
        <v>131</v>
      </c>
      <c r="C7" t="s">
        <v>128</v>
      </c>
      <c r="D7" t="s">
        <v>40</v>
      </c>
      <c r="E7" t="s">
        <v>383</v>
      </c>
      <c r="F7" t="s">
        <v>386</v>
      </c>
    </row>
    <row r="8" spans="1:63" x14ac:dyDescent="0.3">
      <c r="A8" t="s">
        <v>19</v>
      </c>
      <c r="B8" t="s">
        <v>134</v>
      </c>
      <c r="C8" t="s">
        <v>128</v>
      </c>
      <c r="D8" t="s">
        <v>45</v>
      </c>
      <c r="E8" t="s">
        <v>383</v>
      </c>
      <c r="F8" t="s">
        <v>384</v>
      </c>
      <c r="Y8">
        <v>55022560.439999998</v>
      </c>
      <c r="Z8">
        <v>15720731.560000001</v>
      </c>
    </row>
    <row r="9" spans="1:63" x14ac:dyDescent="0.3">
      <c r="A9" t="s">
        <v>19</v>
      </c>
      <c r="B9" t="s">
        <v>134</v>
      </c>
      <c r="C9" t="s">
        <v>128</v>
      </c>
      <c r="D9" t="s">
        <v>45</v>
      </c>
      <c r="E9" t="s">
        <v>383</v>
      </c>
      <c r="F9" t="s">
        <v>385</v>
      </c>
      <c r="AA9">
        <v>43793466.479999997</v>
      </c>
      <c r="AB9">
        <v>26949825.52</v>
      </c>
    </row>
    <row r="10" spans="1:63" x14ac:dyDescent="0.3">
      <c r="A10" t="s">
        <v>19</v>
      </c>
      <c r="B10" t="s">
        <v>134</v>
      </c>
      <c r="C10" t="s">
        <v>128</v>
      </c>
      <c r="D10" t="s">
        <v>45</v>
      </c>
      <c r="E10" t="s">
        <v>383</v>
      </c>
      <c r="F10" t="s">
        <v>386</v>
      </c>
    </row>
    <row r="11" spans="1:63" x14ac:dyDescent="0.3">
      <c r="A11" t="s">
        <v>19</v>
      </c>
      <c r="B11" t="s">
        <v>138</v>
      </c>
      <c r="C11" t="s">
        <v>128</v>
      </c>
      <c r="D11" t="s">
        <v>31</v>
      </c>
      <c r="E11" t="s">
        <v>383</v>
      </c>
      <c r="F11" t="s">
        <v>384</v>
      </c>
      <c r="AK11">
        <v>26055725.329999998</v>
      </c>
      <c r="AL11">
        <v>20844580.27</v>
      </c>
    </row>
    <row r="12" spans="1:63" x14ac:dyDescent="0.3">
      <c r="A12" t="s">
        <v>19</v>
      </c>
      <c r="B12" t="s">
        <v>138</v>
      </c>
      <c r="C12" t="s">
        <v>128</v>
      </c>
      <c r="D12" t="s">
        <v>31</v>
      </c>
      <c r="E12" t="s">
        <v>383</v>
      </c>
      <c r="F12" t="s">
        <v>385</v>
      </c>
      <c r="AK12">
        <v>26055725.329999998</v>
      </c>
      <c r="AL12">
        <v>20844580.27</v>
      </c>
    </row>
    <row r="13" spans="1:63" x14ac:dyDescent="0.3">
      <c r="A13" t="s">
        <v>19</v>
      </c>
      <c r="B13" t="s">
        <v>138</v>
      </c>
      <c r="C13" t="s">
        <v>128</v>
      </c>
      <c r="D13" t="s">
        <v>31</v>
      </c>
      <c r="E13" t="s">
        <v>383</v>
      </c>
      <c r="F13" t="s">
        <v>386</v>
      </c>
    </row>
    <row r="14" spans="1:63" x14ac:dyDescent="0.3">
      <c r="A14" t="s">
        <v>19</v>
      </c>
      <c r="B14" t="s">
        <v>141</v>
      </c>
      <c r="C14" t="s">
        <v>128</v>
      </c>
      <c r="D14" t="s">
        <v>31</v>
      </c>
      <c r="E14" t="s">
        <v>383</v>
      </c>
      <c r="F14" t="s">
        <v>384</v>
      </c>
      <c r="AE14">
        <v>3666166.93</v>
      </c>
      <c r="AG14">
        <v>1833083.47</v>
      </c>
    </row>
    <row r="15" spans="1:63" x14ac:dyDescent="0.3">
      <c r="A15" t="s">
        <v>19</v>
      </c>
      <c r="B15" t="s">
        <v>141</v>
      </c>
      <c r="C15" t="s">
        <v>128</v>
      </c>
      <c r="D15" t="s">
        <v>31</v>
      </c>
      <c r="E15" t="s">
        <v>383</v>
      </c>
      <c r="F15" t="s">
        <v>385</v>
      </c>
      <c r="AJ15">
        <v>5499250.4000000004</v>
      </c>
    </row>
    <row r="16" spans="1:63" x14ac:dyDescent="0.3">
      <c r="A16" t="s">
        <v>19</v>
      </c>
      <c r="B16" t="s">
        <v>141</v>
      </c>
      <c r="C16" t="s">
        <v>128</v>
      </c>
      <c r="D16" t="s">
        <v>31</v>
      </c>
      <c r="E16" t="s">
        <v>383</v>
      </c>
      <c r="F16" t="s">
        <v>386</v>
      </c>
    </row>
    <row r="17" spans="1:41" x14ac:dyDescent="0.3">
      <c r="A17" t="s">
        <v>19</v>
      </c>
      <c r="B17" t="s">
        <v>144</v>
      </c>
      <c r="C17" t="s">
        <v>128</v>
      </c>
      <c r="D17" t="s">
        <v>61</v>
      </c>
      <c r="E17" t="s">
        <v>383</v>
      </c>
      <c r="F17" t="s">
        <v>384</v>
      </c>
      <c r="AJ17">
        <v>594660</v>
      </c>
    </row>
    <row r="18" spans="1:41" x14ac:dyDescent="0.3">
      <c r="A18" t="s">
        <v>19</v>
      </c>
      <c r="B18" t="s">
        <v>144</v>
      </c>
      <c r="C18" t="s">
        <v>128</v>
      </c>
      <c r="D18" t="s">
        <v>61</v>
      </c>
      <c r="E18" t="s">
        <v>383</v>
      </c>
      <c r="F18" t="s">
        <v>385</v>
      </c>
      <c r="AN18">
        <v>204719.02</v>
      </c>
      <c r="AO18">
        <v>389940.98</v>
      </c>
    </row>
    <row r="19" spans="1:41" x14ac:dyDescent="0.3">
      <c r="A19" t="s">
        <v>19</v>
      </c>
      <c r="B19" t="s">
        <v>144</v>
      </c>
      <c r="C19" t="s">
        <v>128</v>
      </c>
      <c r="D19" t="s">
        <v>61</v>
      </c>
      <c r="E19" t="s">
        <v>383</v>
      </c>
      <c r="F19" t="s">
        <v>386</v>
      </c>
    </row>
    <row r="20" spans="1:41" x14ac:dyDescent="0.3">
      <c r="A20" t="s">
        <v>19</v>
      </c>
      <c r="B20" t="s">
        <v>148</v>
      </c>
      <c r="C20" t="s">
        <v>128</v>
      </c>
      <c r="D20" t="s">
        <v>64</v>
      </c>
      <c r="E20" t="s">
        <v>383</v>
      </c>
      <c r="F20" t="s">
        <v>384</v>
      </c>
      <c r="AJ20">
        <v>400184.8</v>
      </c>
    </row>
    <row r="21" spans="1:41" x14ac:dyDescent="0.3">
      <c r="A21" t="s">
        <v>19</v>
      </c>
      <c r="B21" t="s">
        <v>148</v>
      </c>
      <c r="C21" t="s">
        <v>128</v>
      </c>
      <c r="D21" t="s">
        <v>64</v>
      </c>
      <c r="E21" t="s">
        <v>383</v>
      </c>
      <c r="F21" t="s">
        <v>385</v>
      </c>
      <c r="AJ21">
        <v>400184.8</v>
      </c>
    </row>
    <row r="22" spans="1:41" x14ac:dyDescent="0.3">
      <c r="A22" t="s">
        <v>19</v>
      </c>
      <c r="B22" t="s">
        <v>148</v>
      </c>
      <c r="C22" t="s">
        <v>128</v>
      </c>
      <c r="D22" t="s">
        <v>64</v>
      </c>
      <c r="E22" t="s">
        <v>383</v>
      </c>
      <c r="F22" t="s">
        <v>386</v>
      </c>
    </row>
    <row r="23" spans="1:41" x14ac:dyDescent="0.3">
      <c r="A23" t="s">
        <v>19</v>
      </c>
      <c r="B23" t="s">
        <v>151</v>
      </c>
      <c r="C23" t="s">
        <v>128</v>
      </c>
      <c r="D23" t="s">
        <v>35</v>
      </c>
      <c r="E23" t="s">
        <v>383</v>
      </c>
      <c r="F23" t="s">
        <v>384</v>
      </c>
      <c r="AL23">
        <v>4371866</v>
      </c>
      <c r="AM23">
        <v>4371866</v>
      </c>
    </row>
    <row r="24" spans="1:41" x14ac:dyDescent="0.3">
      <c r="A24" t="s">
        <v>19</v>
      </c>
      <c r="B24" t="s">
        <v>151</v>
      </c>
      <c r="C24" t="s">
        <v>128</v>
      </c>
      <c r="D24" t="s">
        <v>35</v>
      </c>
      <c r="E24" t="s">
        <v>383</v>
      </c>
      <c r="F24" t="s">
        <v>385</v>
      </c>
      <c r="AL24">
        <v>4371866</v>
      </c>
      <c r="AM24">
        <v>4371866</v>
      </c>
    </row>
    <row r="25" spans="1:41" x14ac:dyDescent="0.3">
      <c r="A25" t="s">
        <v>19</v>
      </c>
      <c r="B25" t="s">
        <v>151</v>
      </c>
      <c r="C25" t="s">
        <v>128</v>
      </c>
      <c r="D25" t="s">
        <v>35</v>
      </c>
      <c r="E25" t="s">
        <v>383</v>
      </c>
      <c r="F25" t="s">
        <v>386</v>
      </c>
    </row>
    <row r="26" spans="1:41" x14ac:dyDescent="0.3">
      <c r="A26" t="s">
        <v>19</v>
      </c>
      <c r="B26" t="s">
        <v>155</v>
      </c>
      <c r="C26" t="s">
        <v>128</v>
      </c>
      <c r="D26" t="s">
        <v>35</v>
      </c>
      <c r="E26" t="s">
        <v>383</v>
      </c>
      <c r="F26" t="s">
        <v>384</v>
      </c>
      <c r="AK26">
        <v>1846608</v>
      </c>
      <c r="AL26">
        <v>1477286.4</v>
      </c>
    </row>
    <row r="27" spans="1:41" x14ac:dyDescent="0.3">
      <c r="A27" t="s">
        <v>19</v>
      </c>
      <c r="B27" t="s">
        <v>155</v>
      </c>
      <c r="C27" t="s">
        <v>128</v>
      </c>
      <c r="D27" t="s">
        <v>35</v>
      </c>
      <c r="E27" t="s">
        <v>383</v>
      </c>
      <c r="F27" t="s">
        <v>385</v>
      </c>
      <c r="AK27">
        <v>1846608</v>
      </c>
      <c r="AL27">
        <v>1477286.4</v>
      </c>
    </row>
    <row r="28" spans="1:41" x14ac:dyDescent="0.3">
      <c r="A28" t="s">
        <v>19</v>
      </c>
      <c r="B28" t="s">
        <v>155</v>
      </c>
      <c r="C28" t="s">
        <v>128</v>
      </c>
      <c r="D28" t="s">
        <v>35</v>
      </c>
      <c r="E28" t="s">
        <v>383</v>
      </c>
      <c r="F28" t="s">
        <v>386</v>
      </c>
    </row>
    <row r="29" spans="1:41" x14ac:dyDescent="0.3">
      <c r="A29" t="s">
        <v>19</v>
      </c>
      <c r="B29" t="s">
        <v>158</v>
      </c>
      <c r="C29" t="s">
        <v>161</v>
      </c>
      <c r="D29" t="s">
        <v>40</v>
      </c>
      <c r="E29" t="s">
        <v>383</v>
      </c>
      <c r="F29" t="s">
        <v>384</v>
      </c>
      <c r="J29">
        <v>266754.40000000002</v>
      </c>
      <c r="K29">
        <v>373456.16</v>
      </c>
      <c r="L29">
        <v>373456.16</v>
      </c>
      <c r="M29">
        <v>53350.879999999997</v>
      </c>
    </row>
    <row r="30" spans="1:41" x14ac:dyDescent="0.3">
      <c r="A30" t="s">
        <v>19</v>
      </c>
      <c r="B30" t="s">
        <v>158</v>
      </c>
      <c r="C30" t="s">
        <v>161</v>
      </c>
      <c r="D30" t="s">
        <v>40</v>
      </c>
      <c r="E30" t="s">
        <v>383</v>
      </c>
      <c r="F30" t="s">
        <v>385</v>
      </c>
      <c r="J30">
        <v>266754.40000000002</v>
      </c>
      <c r="K30">
        <v>373456.16</v>
      </c>
      <c r="L30">
        <v>373456.16</v>
      </c>
      <c r="M30">
        <v>53350.879999999997</v>
      </c>
    </row>
    <row r="31" spans="1:41" x14ac:dyDescent="0.3">
      <c r="A31" t="s">
        <v>19</v>
      </c>
      <c r="B31" t="s">
        <v>158</v>
      </c>
      <c r="C31" t="s">
        <v>161</v>
      </c>
      <c r="D31" t="s">
        <v>40</v>
      </c>
      <c r="E31" t="s">
        <v>383</v>
      </c>
      <c r="F31" t="s">
        <v>386</v>
      </c>
    </row>
    <row r="32" spans="1:41" x14ac:dyDescent="0.3">
      <c r="A32" t="s">
        <v>19</v>
      </c>
      <c r="B32" t="s">
        <v>164</v>
      </c>
      <c r="C32" t="s">
        <v>161</v>
      </c>
      <c r="D32" t="s">
        <v>40</v>
      </c>
      <c r="E32" t="s">
        <v>383</v>
      </c>
      <c r="F32" t="s">
        <v>384</v>
      </c>
      <c r="X32">
        <v>580190.88</v>
      </c>
      <c r="Y32">
        <v>386793.92</v>
      </c>
    </row>
    <row r="33" spans="1:41" x14ac:dyDescent="0.3">
      <c r="A33" t="s">
        <v>19</v>
      </c>
      <c r="B33" t="s">
        <v>164</v>
      </c>
      <c r="C33" t="s">
        <v>161</v>
      </c>
      <c r="D33" t="s">
        <v>40</v>
      </c>
      <c r="E33" t="s">
        <v>383</v>
      </c>
      <c r="F33" t="s">
        <v>385</v>
      </c>
      <c r="X33">
        <v>193396.96</v>
      </c>
      <c r="Y33">
        <v>676889.36</v>
      </c>
      <c r="Z33">
        <v>96698.48</v>
      </c>
    </row>
    <row r="34" spans="1:41" x14ac:dyDescent="0.3">
      <c r="A34" t="s">
        <v>19</v>
      </c>
      <c r="B34" t="s">
        <v>164</v>
      </c>
      <c r="C34" t="s">
        <v>161</v>
      </c>
      <c r="D34" t="s">
        <v>40</v>
      </c>
      <c r="E34" t="s">
        <v>383</v>
      </c>
      <c r="F34" t="s">
        <v>386</v>
      </c>
    </row>
    <row r="35" spans="1:41" x14ac:dyDescent="0.3">
      <c r="A35" t="s">
        <v>19</v>
      </c>
      <c r="B35" t="s">
        <v>167</v>
      </c>
      <c r="C35" t="s">
        <v>161</v>
      </c>
      <c r="D35" t="s">
        <v>40</v>
      </c>
      <c r="E35" t="s">
        <v>383</v>
      </c>
      <c r="F35" t="s">
        <v>384</v>
      </c>
      <c r="M35">
        <v>60019.8</v>
      </c>
      <c r="N35">
        <v>70023.100000000006</v>
      </c>
      <c r="O35">
        <v>30009.9</v>
      </c>
    </row>
    <row r="36" spans="1:41" x14ac:dyDescent="0.3">
      <c r="A36" t="s">
        <v>19</v>
      </c>
      <c r="B36" t="s">
        <v>167</v>
      </c>
      <c r="C36" t="s">
        <v>161</v>
      </c>
      <c r="D36" t="s">
        <v>40</v>
      </c>
      <c r="E36" t="s">
        <v>383</v>
      </c>
      <c r="F36" t="s">
        <v>385</v>
      </c>
      <c r="M36">
        <v>60019.8</v>
      </c>
      <c r="N36">
        <v>70023.100000000006</v>
      </c>
      <c r="O36">
        <v>30009.9</v>
      </c>
    </row>
    <row r="37" spans="1:41" x14ac:dyDescent="0.3">
      <c r="A37" t="s">
        <v>19</v>
      </c>
      <c r="B37" t="s">
        <v>167</v>
      </c>
      <c r="C37" t="s">
        <v>161</v>
      </c>
      <c r="D37" t="s">
        <v>40</v>
      </c>
      <c r="E37" t="s">
        <v>383</v>
      </c>
      <c r="F37" t="s">
        <v>386</v>
      </c>
    </row>
    <row r="38" spans="1:41" x14ac:dyDescent="0.3">
      <c r="A38" t="s">
        <v>19</v>
      </c>
      <c r="B38" t="s">
        <v>171</v>
      </c>
      <c r="C38" t="s">
        <v>161</v>
      </c>
      <c r="D38" t="s">
        <v>40</v>
      </c>
      <c r="E38" t="s">
        <v>383</v>
      </c>
      <c r="F38" t="s">
        <v>384</v>
      </c>
      <c r="O38">
        <v>316770.93</v>
      </c>
      <c r="P38">
        <v>554349.13</v>
      </c>
      <c r="Q38">
        <v>554349.13</v>
      </c>
      <c r="R38">
        <v>475156.4</v>
      </c>
    </row>
    <row r="39" spans="1:41" x14ac:dyDescent="0.3">
      <c r="A39" t="s">
        <v>19</v>
      </c>
      <c r="B39" t="s">
        <v>171</v>
      </c>
      <c r="C39" t="s">
        <v>161</v>
      </c>
      <c r="D39" t="s">
        <v>40</v>
      </c>
      <c r="E39" t="s">
        <v>383</v>
      </c>
      <c r="F39" t="s">
        <v>385</v>
      </c>
      <c r="O39">
        <v>316770.93</v>
      </c>
      <c r="P39">
        <v>554349.13</v>
      </c>
      <c r="Q39">
        <v>554349.13</v>
      </c>
      <c r="R39">
        <v>475156.4</v>
      </c>
    </row>
    <row r="40" spans="1:41" x14ac:dyDescent="0.3">
      <c r="A40" t="s">
        <v>19</v>
      </c>
      <c r="B40" t="s">
        <v>171</v>
      </c>
      <c r="C40" t="s">
        <v>161</v>
      </c>
      <c r="D40" t="s">
        <v>40</v>
      </c>
      <c r="E40" t="s">
        <v>383</v>
      </c>
      <c r="F40" t="s">
        <v>386</v>
      </c>
    </row>
    <row r="41" spans="1:41" x14ac:dyDescent="0.3">
      <c r="A41" t="s">
        <v>19</v>
      </c>
      <c r="B41" t="s">
        <v>175</v>
      </c>
      <c r="C41" t="s">
        <v>161</v>
      </c>
      <c r="D41" t="s">
        <v>40</v>
      </c>
      <c r="E41" t="s">
        <v>383</v>
      </c>
      <c r="F41" t="s">
        <v>384</v>
      </c>
      <c r="R41">
        <v>116163.24</v>
      </c>
      <c r="S41">
        <v>813142.71</v>
      </c>
      <c r="T41">
        <v>813142.71</v>
      </c>
      <c r="U41">
        <v>348489.73</v>
      </c>
    </row>
    <row r="42" spans="1:41" x14ac:dyDescent="0.3">
      <c r="A42" t="s">
        <v>19</v>
      </c>
      <c r="B42" t="s">
        <v>175</v>
      </c>
      <c r="C42" t="s">
        <v>161</v>
      </c>
      <c r="D42" t="s">
        <v>40</v>
      </c>
      <c r="E42" t="s">
        <v>383</v>
      </c>
      <c r="F42" t="s">
        <v>385</v>
      </c>
      <c r="R42">
        <v>104546.92</v>
      </c>
      <c r="S42">
        <v>731828.44</v>
      </c>
      <c r="T42">
        <v>731828.44</v>
      </c>
      <c r="U42">
        <v>522734.6</v>
      </c>
    </row>
    <row r="43" spans="1:41" x14ac:dyDescent="0.3">
      <c r="A43" t="s">
        <v>19</v>
      </c>
      <c r="B43" t="s">
        <v>175</v>
      </c>
      <c r="C43" t="s">
        <v>161</v>
      </c>
      <c r="D43" t="s">
        <v>40</v>
      </c>
      <c r="E43" t="s">
        <v>383</v>
      </c>
      <c r="F43" t="s">
        <v>386</v>
      </c>
    </row>
    <row r="44" spans="1:41" x14ac:dyDescent="0.3">
      <c r="A44" t="s">
        <v>19</v>
      </c>
      <c r="B44" t="s">
        <v>179</v>
      </c>
      <c r="C44" t="s">
        <v>161</v>
      </c>
      <c r="D44" t="s">
        <v>40</v>
      </c>
      <c r="E44" t="s">
        <v>383</v>
      </c>
      <c r="F44" t="s">
        <v>384</v>
      </c>
      <c r="AI44">
        <v>629677.09</v>
      </c>
      <c r="AJ44">
        <v>881547.93</v>
      </c>
      <c r="AK44">
        <v>881547.93</v>
      </c>
      <c r="AL44">
        <v>377806.25</v>
      </c>
    </row>
    <row r="45" spans="1:41" x14ac:dyDescent="0.3">
      <c r="A45" t="s">
        <v>19</v>
      </c>
      <c r="B45" t="s">
        <v>179</v>
      </c>
      <c r="C45" t="s">
        <v>161</v>
      </c>
      <c r="D45" t="s">
        <v>40</v>
      </c>
      <c r="E45" t="s">
        <v>383</v>
      </c>
      <c r="F45" t="s">
        <v>385</v>
      </c>
      <c r="AI45">
        <v>629677.09</v>
      </c>
      <c r="AJ45">
        <v>881547.93</v>
      </c>
      <c r="AK45">
        <v>881547.93</v>
      </c>
      <c r="AL45">
        <v>377806.25</v>
      </c>
    </row>
    <row r="46" spans="1:41" x14ac:dyDescent="0.3">
      <c r="A46" t="s">
        <v>19</v>
      </c>
      <c r="B46" t="s">
        <v>179</v>
      </c>
      <c r="C46" t="s">
        <v>161</v>
      </c>
      <c r="D46" t="s">
        <v>40</v>
      </c>
      <c r="E46" t="s">
        <v>383</v>
      </c>
      <c r="F46" t="s">
        <v>386</v>
      </c>
    </row>
    <row r="47" spans="1:41" x14ac:dyDescent="0.3">
      <c r="A47" t="s">
        <v>19</v>
      </c>
      <c r="B47" t="s">
        <v>183</v>
      </c>
      <c r="C47" t="s">
        <v>161</v>
      </c>
      <c r="D47" t="s">
        <v>40</v>
      </c>
      <c r="E47" t="s">
        <v>383</v>
      </c>
      <c r="F47" t="s">
        <v>384</v>
      </c>
      <c r="AL47">
        <v>171986.53</v>
      </c>
      <c r="AM47">
        <v>300976.42</v>
      </c>
      <c r="AN47">
        <v>300976.42</v>
      </c>
      <c r="AO47">
        <v>42996.63</v>
      </c>
    </row>
    <row r="48" spans="1:41" x14ac:dyDescent="0.3">
      <c r="A48" t="s">
        <v>19</v>
      </c>
      <c r="B48" t="s">
        <v>183</v>
      </c>
      <c r="C48" t="s">
        <v>161</v>
      </c>
      <c r="D48" t="s">
        <v>40</v>
      </c>
      <c r="E48" t="s">
        <v>383</v>
      </c>
      <c r="F48" t="s">
        <v>385</v>
      </c>
      <c r="AL48">
        <v>171986.53</v>
      </c>
      <c r="AM48">
        <v>300976.42</v>
      </c>
      <c r="AN48">
        <v>300976.42</v>
      </c>
      <c r="AO48">
        <v>42996.63</v>
      </c>
    </row>
    <row r="49" spans="1:48" x14ac:dyDescent="0.3">
      <c r="A49" t="s">
        <v>19</v>
      </c>
      <c r="B49" t="s">
        <v>183</v>
      </c>
      <c r="C49" t="s">
        <v>161</v>
      </c>
      <c r="D49" t="s">
        <v>40</v>
      </c>
      <c r="E49" t="s">
        <v>383</v>
      </c>
      <c r="F49" t="s">
        <v>386</v>
      </c>
    </row>
    <row r="50" spans="1:48" x14ac:dyDescent="0.3">
      <c r="A50" t="s">
        <v>19</v>
      </c>
      <c r="B50" t="s">
        <v>187</v>
      </c>
      <c r="C50" t="s">
        <v>161</v>
      </c>
      <c r="D50" t="s">
        <v>45</v>
      </c>
      <c r="E50" t="s">
        <v>383</v>
      </c>
      <c r="F50" t="s">
        <v>384</v>
      </c>
      <c r="AB50">
        <v>1587189.2</v>
      </c>
      <c r="AC50">
        <v>2222064.88</v>
      </c>
      <c r="AD50">
        <v>2222064.88</v>
      </c>
      <c r="AE50">
        <v>1904627.04</v>
      </c>
      <c r="AG50">
        <v>317437.84000000003</v>
      </c>
      <c r="AH50">
        <v>1269751.3600000001</v>
      </c>
    </row>
    <row r="51" spans="1:48" x14ac:dyDescent="0.3">
      <c r="A51" t="s">
        <v>19</v>
      </c>
      <c r="B51" t="s">
        <v>187</v>
      </c>
      <c r="C51" t="s">
        <v>161</v>
      </c>
      <c r="D51" t="s">
        <v>45</v>
      </c>
      <c r="E51" t="s">
        <v>383</v>
      </c>
      <c r="F51" t="s">
        <v>385</v>
      </c>
      <c r="AB51">
        <v>1360447.89</v>
      </c>
      <c r="AC51">
        <v>1904627.04</v>
      </c>
      <c r="AD51">
        <v>1904627.04</v>
      </c>
      <c r="AE51">
        <v>1632537.46</v>
      </c>
      <c r="AG51">
        <v>272089.58</v>
      </c>
      <c r="AH51">
        <v>1904627.04</v>
      </c>
      <c r="AI51">
        <v>544179.15</v>
      </c>
    </row>
    <row r="52" spans="1:48" x14ac:dyDescent="0.3">
      <c r="A52" t="s">
        <v>19</v>
      </c>
      <c r="B52" t="s">
        <v>187</v>
      </c>
      <c r="C52" t="s">
        <v>161</v>
      </c>
      <c r="D52" t="s">
        <v>45</v>
      </c>
      <c r="E52" t="s">
        <v>383</v>
      </c>
      <c r="F52" t="s">
        <v>386</v>
      </c>
    </row>
    <row r="53" spans="1:48" x14ac:dyDescent="0.3">
      <c r="A53" t="s">
        <v>19</v>
      </c>
      <c r="B53" t="s">
        <v>191</v>
      </c>
      <c r="C53" t="s">
        <v>161</v>
      </c>
      <c r="D53" t="s">
        <v>31</v>
      </c>
      <c r="E53" t="s">
        <v>383</v>
      </c>
      <c r="F53" t="s">
        <v>384</v>
      </c>
      <c r="AO53">
        <v>641253.31000000006</v>
      </c>
      <c r="AP53">
        <v>2244386.58</v>
      </c>
      <c r="AQ53">
        <v>2244386.58</v>
      </c>
      <c r="AR53">
        <v>1923759.93</v>
      </c>
    </row>
    <row r="54" spans="1:48" x14ac:dyDescent="0.3">
      <c r="A54" t="s">
        <v>19</v>
      </c>
      <c r="B54" t="s">
        <v>191</v>
      </c>
      <c r="C54" t="s">
        <v>161</v>
      </c>
      <c r="D54" t="s">
        <v>31</v>
      </c>
      <c r="E54" t="s">
        <v>383</v>
      </c>
      <c r="F54" t="s">
        <v>385</v>
      </c>
    </row>
    <row r="55" spans="1:48" x14ac:dyDescent="0.3">
      <c r="A55" t="s">
        <v>19</v>
      </c>
      <c r="B55" t="s">
        <v>191</v>
      </c>
      <c r="C55" t="s">
        <v>161</v>
      </c>
      <c r="D55" t="s">
        <v>31</v>
      </c>
      <c r="E55" t="s">
        <v>383</v>
      </c>
      <c r="F55" t="s">
        <v>386</v>
      </c>
      <c r="AO55">
        <v>641253.31000000006</v>
      </c>
      <c r="AP55">
        <v>2244386.58</v>
      </c>
      <c r="AQ55">
        <v>2244386.58</v>
      </c>
      <c r="AR55">
        <v>1923759.93</v>
      </c>
    </row>
    <row r="56" spans="1:48" x14ac:dyDescent="0.3">
      <c r="A56" t="s">
        <v>19</v>
      </c>
      <c r="B56" t="s">
        <v>197</v>
      </c>
      <c r="C56" t="s">
        <v>161</v>
      </c>
      <c r="D56" t="s">
        <v>61</v>
      </c>
      <c r="E56" t="s">
        <v>383</v>
      </c>
      <c r="F56" t="s">
        <v>384</v>
      </c>
      <c r="AO56">
        <v>17788.98</v>
      </c>
      <c r="AP56">
        <v>62261.42</v>
      </c>
    </row>
    <row r="57" spans="1:48" x14ac:dyDescent="0.3">
      <c r="A57" t="s">
        <v>19</v>
      </c>
      <c r="B57" t="s">
        <v>197</v>
      </c>
      <c r="C57" t="s">
        <v>161</v>
      </c>
      <c r="D57" t="s">
        <v>61</v>
      </c>
      <c r="E57" t="s">
        <v>383</v>
      </c>
      <c r="F57" t="s">
        <v>385</v>
      </c>
    </row>
    <row r="58" spans="1:48" x14ac:dyDescent="0.3">
      <c r="A58" t="s">
        <v>19</v>
      </c>
      <c r="B58" t="s">
        <v>197</v>
      </c>
      <c r="C58" t="s">
        <v>161</v>
      </c>
      <c r="D58" t="s">
        <v>61</v>
      </c>
      <c r="E58" t="s">
        <v>383</v>
      </c>
      <c r="F58" t="s">
        <v>386</v>
      </c>
      <c r="AO58">
        <v>17788.98</v>
      </c>
      <c r="AP58">
        <v>62261.42</v>
      </c>
    </row>
    <row r="59" spans="1:48" x14ac:dyDescent="0.3">
      <c r="A59" t="s">
        <v>19</v>
      </c>
      <c r="B59" t="s">
        <v>202</v>
      </c>
      <c r="C59" t="s">
        <v>161</v>
      </c>
      <c r="D59" t="s">
        <v>64</v>
      </c>
      <c r="E59" t="s">
        <v>383</v>
      </c>
      <c r="F59" t="s">
        <v>384</v>
      </c>
      <c r="AQ59">
        <v>37709.839999999997</v>
      </c>
      <c r="AR59">
        <v>16161.36</v>
      </c>
    </row>
    <row r="60" spans="1:48" x14ac:dyDescent="0.3">
      <c r="A60" t="s">
        <v>19</v>
      </c>
      <c r="B60" t="s">
        <v>202</v>
      </c>
      <c r="C60" t="s">
        <v>161</v>
      </c>
      <c r="D60" t="s">
        <v>64</v>
      </c>
      <c r="E60" t="s">
        <v>383</v>
      </c>
      <c r="F60" t="s">
        <v>385</v>
      </c>
    </row>
    <row r="61" spans="1:48" x14ac:dyDescent="0.3">
      <c r="A61" t="s">
        <v>19</v>
      </c>
      <c r="B61" t="s">
        <v>202</v>
      </c>
      <c r="C61" t="s">
        <v>161</v>
      </c>
      <c r="D61" t="s">
        <v>64</v>
      </c>
      <c r="E61" t="s">
        <v>383</v>
      </c>
      <c r="F61" t="s">
        <v>386</v>
      </c>
      <c r="AQ61">
        <v>37709.839999999997</v>
      </c>
      <c r="AR61">
        <v>16161.36</v>
      </c>
    </row>
    <row r="62" spans="1:48" x14ac:dyDescent="0.3">
      <c r="A62" t="s">
        <v>19</v>
      </c>
      <c r="B62" t="s">
        <v>205</v>
      </c>
      <c r="C62" t="s">
        <v>161</v>
      </c>
      <c r="D62" t="s">
        <v>35</v>
      </c>
      <c r="E62" t="s">
        <v>383</v>
      </c>
      <c r="F62" t="s">
        <v>384</v>
      </c>
      <c r="AR62">
        <v>58017.43</v>
      </c>
      <c r="AS62">
        <v>406122</v>
      </c>
      <c r="AT62">
        <v>406122</v>
      </c>
      <c r="AU62">
        <v>406122</v>
      </c>
      <c r="AV62">
        <v>348104.57</v>
      </c>
    </row>
    <row r="63" spans="1:48" x14ac:dyDescent="0.3">
      <c r="A63" t="s">
        <v>19</v>
      </c>
      <c r="B63" t="s">
        <v>205</v>
      </c>
      <c r="C63" t="s">
        <v>161</v>
      </c>
      <c r="D63" t="s">
        <v>35</v>
      </c>
      <c r="E63" t="s">
        <v>383</v>
      </c>
      <c r="F63" t="s">
        <v>385</v>
      </c>
    </row>
    <row r="64" spans="1:48" x14ac:dyDescent="0.3">
      <c r="A64" t="s">
        <v>19</v>
      </c>
      <c r="B64" t="s">
        <v>205</v>
      </c>
      <c r="C64" t="s">
        <v>161</v>
      </c>
      <c r="D64" t="s">
        <v>35</v>
      </c>
      <c r="E64" t="s">
        <v>383</v>
      </c>
      <c r="F64" t="s">
        <v>386</v>
      </c>
      <c r="AR64">
        <v>58017.43</v>
      </c>
      <c r="AS64">
        <v>406122</v>
      </c>
      <c r="AT64">
        <v>406122</v>
      </c>
      <c r="AU64">
        <v>406122</v>
      </c>
      <c r="AV64">
        <v>348104.57</v>
      </c>
    </row>
    <row r="65" spans="1:42" x14ac:dyDescent="0.3">
      <c r="A65" t="s">
        <v>19</v>
      </c>
      <c r="B65" t="s">
        <v>212</v>
      </c>
      <c r="C65" t="s">
        <v>161</v>
      </c>
      <c r="D65" t="s">
        <v>40</v>
      </c>
      <c r="E65" t="s">
        <v>383</v>
      </c>
      <c r="F65" t="s">
        <v>384</v>
      </c>
      <c r="M65">
        <v>320105.28000000003</v>
      </c>
      <c r="N65">
        <v>373456.16</v>
      </c>
      <c r="O65">
        <v>373456.16</v>
      </c>
    </row>
    <row r="66" spans="1:42" x14ac:dyDescent="0.3">
      <c r="A66" t="s">
        <v>19</v>
      </c>
      <c r="B66" t="s">
        <v>212</v>
      </c>
      <c r="C66" t="s">
        <v>161</v>
      </c>
      <c r="D66" t="s">
        <v>40</v>
      </c>
      <c r="E66" t="s">
        <v>383</v>
      </c>
      <c r="F66" t="s">
        <v>385</v>
      </c>
      <c r="M66">
        <v>320105.28000000003</v>
      </c>
      <c r="N66">
        <v>373456.16</v>
      </c>
      <c r="O66">
        <v>373456.16</v>
      </c>
    </row>
    <row r="67" spans="1:42" x14ac:dyDescent="0.3">
      <c r="A67" t="s">
        <v>19</v>
      </c>
      <c r="B67" t="s">
        <v>212</v>
      </c>
      <c r="C67" t="s">
        <v>161</v>
      </c>
      <c r="D67" t="s">
        <v>40</v>
      </c>
      <c r="E67" t="s">
        <v>383</v>
      </c>
      <c r="F67" t="s">
        <v>386</v>
      </c>
    </row>
    <row r="68" spans="1:42" x14ac:dyDescent="0.3">
      <c r="A68" t="s">
        <v>19</v>
      </c>
      <c r="B68" t="s">
        <v>215</v>
      </c>
      <c r="C68" t="s">
        <v>161</v>
      </c>
      <c r="D68" t="s">
        <v>40</v>
      </c>
      <c r="E68" t="s">
        <v>383</v>
      </c>
      <c r="F68" t="s">
        <v>384</v>
      </c>
      <c r="AG68">
        <v>96698.48</v>
      </c>
      <c r="AH68">
        <v>676889.36</v>
      </c>
      <c r="AI68">
        <v>193396.96</v>
      </c>
    </row>
    <row r="69" spans="1:42" x14ac:dyDescent="0.3">
      <c r="A69" t="s">
        <v>19</v>
      </c>
      <c r="B69" t="s">
        <v>215</v>
      </c>
      <c r="C69" t="s">
        <v>161</v>
      </c>
      <c r="D69" t="s">
        <v>40</v>
      </c>
      <c r="E69" t="s">
        <v>383</v>
      </c>
      <c r="F69" t="s">
        <v>385</v>
      </c>
      <c r="AG69">
        <v>96698.48</v>
      </c>
      <c r="AH69">
        <v>676889.36</v>
      </c>
      <c r="AI69">
        <v>193396.96</v>
      </c>
    </row>
    <row r="70" spans="1:42" x14ac:dyDescent="0.3">
      <c r="A70" t="s">
        <v>19</v>
      </c>
      <c r="B70" t="s">
        <v>215</v>
      </c>
      <c r="C70" t="s">
        <v>161</v>
      </c>
      <c r="D70" t="s">
        <v>40</v>
      </c>
      <c r="E70" t="s">
        <v>383</v>
      </c>
      <c r="F70" t="s">
        <v>386</v>
      </c>
    </row>
    <row r="71" spans="1:42" x14ac:dyDescent="0.3">
      <c r="A71" t="s">
        <v>19</v>
      </c>
      <c r="B71" t="s">
        <v>217</v>
      </c>
      <c r="C71" t="s">
        <v>161</v>
      </c>
      <c r="D71" t="s">
        <v>40</v>
      </c>
      <c r="E71" t="s">
        <v>383</v>
      </c>
      <c r="F71" t="s">
        <v>384</v>
      </c>
      <c r="P71">
        <v>70023.100000000006</v>
      </c>
      <c r="Q71">
        <v>70023.100000000006</v>
      </c>
      <c r="R71">
        <v>20006.599999999999</v>
      </c>
    </row>
    <row r="72" spans="1:42" x14ac:dyDescent="0.3">
      <c r="A72" t="s">
        <v>19</v>
      </c>
      <c r="B72" t="s">
        <v>217</v>
      </c>
      <c r="C72" t="s">
        <v>161</v>
      </c>
      <c r="D72" t="s">
        <v>40</v>
      </c>
      <c r="E72" t="s">
        <v>383</v>
      </c>
      <c r="F72" t="s">
        <v>385</v>
      </c>
      <c r="P72">
        <v>70023.100000000006</v>
      </c>
      <c r="Q72">
        <v>70023.100000000006</v>
      </c>
      <c r="R72">
        <v>20006.599999999999</v>
      </c>
    </row>
    <row r="73" spans="1:42" x14ac:dyDescent="0.3">
      <c r="A73" t="s">
        <v>19</v>
      </c>
      <c r="B73" t="s">
        <v>217</v>
      </c>
      <c r="C73" t="s">
        <v>161</v>
      </c>
      <c r="D73" t="s">
        <v>40</v>
      </c>
      <c r="E73" t="s">
        <v>383</v>
      </c>
      <c r="F73" t="s">
        <v>386</v>
      </c>
    </row>
    <row r="74" spans="1:42" x14ac:dyDescent="0.3">
      <c r="A74" t="s">
        <v>19</v>
      </c>
      <c r="B74" t="s">
        <v>219</v>
      </c>
      <c r="C74" t="s">
        <v>161</v>
      </c>
      <c r="D74" t="s">
        <v>40</v>
      </c>
      <c r="E74" t="s">
        <v>383</v>
      </c>
      <c r="F74" t="s">
        <v>384</v>
      </c>
      <c r="R74">
        <v>79192.73</v>
      </c>
      <c r="S74">
        <v>554349.13</v>
      </c>
      <c r="T74">
        <v>554349.13</v>
      </c>
      <c r="U74">
        <v>395963.67</v>
      </c>
      <c r="W74">
        <v>79192.73</v>
      </c>
      <c r="X74">
        <v>237578.2</v>
      </c>
    </row>
    <row r="75" spans="1:42" x14ac:dyDescent="0.3">
      <c r="A75" t="s">
        <v>19</v>
      </c>
      <c r="B75" t="s">
        <v>219</v>
      </c>
      <c r="C75" t="s">
        <v>161</v>
      </c>
      <c r="D75" t="s">
        <v>40</v>
      </c>
      <c r="E75" t="s">
        <v>383</v>
      </c>
      <c r="F75" t="s">
        <v>385</v>
      </c>
      <c r="R75">
        <v>70393.539999999994</v>
      </c>
      <c r="S75">
        <v>492754.79</v>
      </c>
      <c r="T75">
        <v>492754.79</v>
      </c>
      <c r="U75">
        <v>351967.7</v>
      </c>
      <c r="W75">
        <v>70393.539999999994</v>
      </c>
      <c r="X75">
        <v>422361.24</v>
      </c>
    </row>
    <row r="76" spans="1:42" x14ac:dyDescent="0.3">
      <c r="A76" t="s">
        <v>19</v>
      </c>
      <c r="B76" t="s">
        <v>219</v>
      </c>
      <c r="C76" t="s">
        <v>161</v>
      </c>
      <c r="D76" t="s">
        <v>40</v>
      </c>
      <c r="E76" t="s">
        <v>383</v>
      </c>
      <c r="F76" t="s">
        <v>386</v>
      </c>
    </row>
    <row r="77" spans="1:42" x14ac:dyDescent="0.3">
      <c r="A77" t="s">
        <v>19</v>
      </c>
      <c r="B77" t="s">
        <v>221</v>
      </c>
      <c r="C77" t="s">
        <v>161</v>
      </c>
      <c r="D77" t="s">
        <v>40</v>
      </c>
      <c r="E77" t="s">
        <v>383</v>
      </c>
      <c r="F77" t="s">
        <v>384</v>
      </c>
      <c r="X77">
        <v>116163.24</v>
      </c>
      <c r="Y77">
        <v>813142.71</v>
      </c>
      <c r="Z77">
        <v>813142.71</v>
      </c>
      <c r="AA77">
        <v>348489.73</v>
      </c>
    </row>
    <row r="78" spans="1:42" x14ac:dyDescent="0.3">
      <c r="A78" t="s">
        <v>19</v>
      </c>
      <c r="B78" t="s">
        <v>221</v>
      </c>
      <c r="C78" t="s">
        <v>161</v>
      </c>
      <c r="D78" t="s">
        <v>40</v>
      </c>
      <c r="E78" t="s">
        <v>383</v>
      </c>
      <c r="F78" t="s">
        <v>385</v>
      </c>
      <c r="X78">
        <v>83637.539999999994</v>
      </c>
      <c r="Y78">
        <v>585462.75</v>
      </c>
      <c r="Z78">
        <v>585462.75</v>
      </c>
      <c r="AA78">
        <v>585462.75</v>
      </c>
      <c r="AB78">
        <v>250912.61</v>
      </c>
    </row>
    <row r="79" spans="1:42" x14ac:dyDescent="0.3">
      <c r="A79" t="s">
        <v>19</v>
      </c>
      <c r="B79" t="s">
        <v>221</v>
      </c>
      <c r="C79" t="s">
        <v>161</v>
      </c>
      <c r="D79" t="s">
        <v>40</v>
      </c>
      <c r="E79" t="s">
        <v>383</v>
      </c>
      <c r="F79" t="s">
        <v>386</v>
      </c>
    </row>
    <row r="80" spans="1:42" x14ac:dyDescent="0.3">
      <c r="A80" t="s">
        <v>19</v>
      </c>
      <c r="B80" t="s">
        <v>223</v>
      </c>
      <c r="C80" t="s">
        <v>161</v>
      </c>
      <c r="D80" t="s">
        <v>40</v>
      </c>
      <c r="E80" t="s">
        <v>383</v>
      </c>
      <c r="F80" t="s">
        <v>384</v>
      </c>
      <c r="AM80">
        <v>377806.25</v>
      </c>
      <c r="AN80">
        <v>881547.93</v>
      </c>
      <c r="AO80">
        <v>881547.93</v>
      </c>
      <c r="AP80">
        <v>629677.09</v>
      </c>
    </row>
    <row r="81" spans="1:47" x14ac:dyDescent="0.3">
      <c r="A81" t="s">
        <v>19</v>
      </c>
      <c r="B81" t="s">
        <v>223</v>
      </c>
      <c r="C81" t="s">
        <v>161</v>
      </c>
      <c r="D81" t="s">
        <v>40</v>
      </c>
      <c r="E81" t="s">
        <v>383</v>
      </c>
      <c r="F81" t="s">
        <v>385</v>
      </c>
      <c r="AM81">
        <v>554115.83999999997</v>
      </c>
      <c r="AN81">
        <v>1292936.96</v>
      </c>
      <c r="AO81">
        <v>923526.4</v>
      </c>
    </row>
    <row r="82" spans="1:47" x14ac:dyDescent="0.3">
      <c r="A82" t="s">
        <v>19</v>
      </c>
      <c r="B82" t="s">
        <v>223</v>
      </c>
      <c r="C82" t="s">
        <v>161</v>
      </c>
      <c r="D82" t="s">
        <v>40</v>
      </c>
      <c r="E82" t="s">
        <v>383</v>
      </c>
      <c r="F82" t="s">
        <v>386</v>
      </c>
    </row>
    <row r="83" spans="1:47" x14ac:dyDescent="0.3">
      <c r="A83" t="s">
        <v>19</v>
      </c>
      <c r="B83" t="s">
        <v>225</v>
      </c>
      <c r="C83" t="s">
        <v>161</v>
      </c>
      <c r="D83" t="s">
        <v>40</v>
      </c>
      <c r="E83" t="s">
        <v>383</v>
      </c>
      <c r="F83" t="s">
        <v>384</v>
      </c>
      <c r="AO83">
        <v>85993.26</v>
      </c>
      <c r="AP83">
        <v>300976.42</v>
      </c>
      <c r="AQ83">
        <v>300976.42</v>
      </c>
      <c r="AR83">
        <v>128989.89</v>
      </c>
    </row>
    <row r="84" spans="1:47" x14ac:dyDescent="0.3">
      <c r="A84" t="s">
        <v>19</v>
      </c>
      <c r="B84" t="s">
        <v>225</v>
      </c>
      <c r="C84" t="s">
        <v>161</v>
      </c>
      <c r="D84" t="s">
        <v>40</v>
      </c>
      <c r="E84" t="s">
        <v>383</v>
      </c>
      <c r="F84" t="s">
        <v>385</v>
      </c>
    </row>
    <row r="85" spans="1:47" x14ac:dyDescent="0.3">
      <c r="A85" t="s">
        <v>19</v>
      </c>
      <c r="B85" t="s">
        <v>225</v>
      </c>
      <c r="C85" t="s">
        <v>161</v>
      </c>
      <c r="D85" t="s">
        <v>40</v>
      </c>
      <c r="E85" t="s">
        <v>383</v>
      </c>
      <c r="F85" t="s">
        <v>386</v>
      </c>
      <c r="AO85">
        <v>85993.26</v>
      </c>
      <c r="AP85">
        <v>300976.42</v>
      </c>
      <c r="AQ85">
        <v>300976.42</v>
      </c>
      <c r="AR85">
        <v>128989.89</v>
      </c>
    </row>
    <row r="86" spans="1:47" x14ac:dyDescent="0.3">
      <c r="A86" t="s">
        <v>19</v>
      </c>
      <c r="B86" t="s">
        <v>229</v>
      </c>
      <c r="C86" t="s">
        <v>161</v>
      </c>
      <c r="D86" t="s">
        <v>45</v>
      </c>
      <c r="E86" t="s">
        <v>383</v>
      </c>
      <c r="F86" t="s">
        <v>384</v>
      </c>
      <c r="AI86">
        <v>1587189.2</v>
      </c>
      <c r="AJ86">
        <v>2222064.88</v>
      </c>
      <c r="AK86">
        <v>2222064.88</v>
      </c>
      <c r="AL86">
        <v>2222064.88</v>
      </c>
      <c r="AM86">
        <v>1269751.3600000001</v>
      </c>
    </row>
    <row r="87" spans="1:47" x14ac:dyDescent="0.3">
      <c r="A87" t="s">
        <v>19</v>
      </c>
      <c r="B87" t="s">
        <v>229</v>
      </c>
      <c r="C87" t="s">
        <v>161</v>
      </c>
      <c r="D87" t="s">
        <v>45</v>
      </c>
      <c r="E87" t="s">
        <v>383</v>
      </c>
      <c r="F87" t="s">
        <v>385</v>
      </c>
      <c r="AI87">
        <v>1587189.2</v>
      </c>
      <c r="AJ87">
        <v>2222064.88</v>
      </c>
      <c r="AK87">
        <v>2222064.88</v>
      </c>
      <c r="AL87">
        <v>2222064.88</v>
      </c>
      <c r="AM87">
        <v>1269751.3600000001</v>
      </c>
    </row>
    <row r="88" spans="1:47" x14ac:dyDescent="0.3">
      <c r="A88" t="s">
        <v>19</v>
      </c>
      <c r="B88" t="s">
        <v>229</v>
      </c>
      <c r="C88" t="s">
        <v>161</v>
      </c>
      <c r="D88" t="s">
        <v>45</v>
      </c>
      <c r="E88" t="s">
        <v>383</v>
      </c>
      <c r="F88" t="s">
        <v>386</v>
      </c>
    </row>
    <row r="89" spans="1:47" x14ac:dyDescent="0.3">
      <c r="A89" t="s">
        <v>19</v>
      </c>
      <c r="B89" t="s">
        <v>232</v>
      </c>
      <c r="C89" t="s">
        <v>161</v>
      </c>
      <c r="D89" t="s">
        <v>31</v>
      </c>
      <c r="E89" t="s">
        <v>383</v>
      </c>
      <c r="F89" t="s">
        <v>384</v>
      </c>
      <c r="AR89">
        <v>1282506.6200000001</v>
      </c>
      <c r="AS89">
        <v>2244386.58</v>
      </c>
      <c r="AT89">
        <v>2244386.58</v>
      </c>
      <c r="AU89">
        <v>1282506.6200000001</v>
      </c>
    </row>
    <row r="90" spans="1:47" x14ac:dyDescent="0.3">
      <c r="A90" t="s">
        <v>19</v>
      </c>
      <c r="B90" t="s">
        <v>232</v>
      </c>
      <c r="C90" t="s">
        <v>161</v>
      </c>
      <c r="D90" t="s">
        <v>31</v>
      </c>
      <c r="E90" t="s">
        <v>383</v>
      </c>
      <c r="F90" t="s">
        <v>385</v>
      </c>
    </row>
    <row r="91" spans="1:47" x14ac:dyDescent="0.3">
      <c r="A91" t="s">
        <v>19</v>
      </c>
      <c r="B91" t="s">
        <v>232</v>
      </c>
      <c r="C91" t="s">
        <v>161</v>
      </c>
      <c r="D91" t="s">
        <v>31</v>
      </c>
      <c r="E91" t="s">
        <v>383</v>
      </c>
      <c r="F91" t="s">
        <v>386</v>
      </c>
      <c r="AR91">
        <v>1282506.6200000001</v>
      </c>
      <c r="AS91">
        <v>2244386.58</v>
      </c>
      <c r="AT91">
        <v>2244386.58</v>
      </c>
      <c r="AU91">
        <v>1282506.6200000001</v>
      </c>
    </row>
    <row r="92" spans="1:47" x14ac:dyDescent="0.3">
      <c r="A92" t="s">
        <v>19</v>
      </c>
      <c r="B92" t="s">
        <v>235</v>
      </c>
      <c r="C92" t="s">
        <v>161</v>
      </c>
      <c r="D92" t="s">
        <v>61</v>
      </c>
      <c r="E92" t="s">
        <v>383</v>
      </c>
      <c r="F92" t="s">
        <v>384</v>
      </c>
      <c r="AQ92">
        <v>53366.93</v>
      </c>
      <c r="AR92">
        <v>26683.47</v>
      </c>
    </row>
    <row r="93" spans="1:47" x14ac:dyDescent="0.3">
      <c r="A93" t="s">
        <v>19</v>
      </c>
      <c r="B93" t="s">
        <v>235</v>
      </c>
      <c r="C93" t="s">
        <v>161</v>
      </c>
      <c r="D93" t="s">
        <v>61</v>
      </c>
      <c r="E93" t="s">
        <v>383</v>
      </c>
      <c r="F93" t="s">
        <v>385</v>
      </c>
    </row>
    <row r="94" spans="1:47" x14ac:dyDescent="0.3">
      <c r="A94" t="s">
        <v>19</v>
      </c>
      <c r="B94" t="s">
        <v>235</v>
      </c>
      <c r="C94" t="s">
        <v>161</v>
      </c>
      <c r="D94" t="s">
        <v>61</v>
      </c>
      <c r="E94" t="s">
        <v>383</v>
      </c>
      <c r="F94" t="s">
        <v>386</v>
      </c>
      <c r="AQ94">
        <v>53366.93</v>
      </c>
      <c r="AR94">
        <v>26683.47</v>
      </c>
    </row>
    <row r="95" spans="1:47" x14ac:dyDescent="0.3">
      <c r="A95" t="s">
        <v>19</v>
      </c>
      <c r="B95" t="s">
        <v>240</v>
      </c>
      <c r="C95" t="s">
        <v>161</v>
      </c>
      <c r="D95" t="s">
        <v>64</v>
      </c>
      <c r="E95" t="s">
        <v>383</v>
      </c>
      <c r="F95" t="s">
        <v>384</v>
      </c>
      <c r="AR95">
        <v>21548.48</v>
      </c>
      <c r="AS95">
        <v>32322.720000000001</v>
      </c>
    </row>
    <row r="96" spans="1:47" x14ac:dyDescent="0.3">
      <c r="A96" t="s">
        <v>19</v>
      </c>
      <c r="B96" t="s">
        <v>240</v>
      </c>
      <c r="C96" t="s">
        <v>161</v>
      </c>
      <c r="D96" t="s">
        <v>64</v>
      </c>
      <c r="E96" t="s">
        <v>383</v>
      </c>
      <c r="F96" t="s">
        <v>385</v>
      </c>
    </row>
    <row r="97" spans="1:51" x14ac:dyDescent="0.3">
      <c r="A97" t="s">
        <v>19</v>
      </c>
      <c r="B97" t="s">
        <v>240</v>
      </c>
      <c r="C97" t="s">
        <v>161</v>
      </c>
      <c r="D97" t="s">
        <v>64</v>
      </c>
      <c r="E97" t="s">
        <v>383</v>
      </c>
      <c r="F97" t="s">
        <v>386</v>
      </c>
      <c r="AR97">
        <v>21548.48</v>
      </c>
      <c r="AS97">
        <v>32322.720000000001</v>
      </c>
    </row>
    <row r="98" spans="1:51" x14ac:dyDescent="0.3">
      <c r="A98" t="s">
        <v>19</v>
      </c>
      <c r="B98" t="s">
        <v>242</v>
      </c>
      <c r="C98" t="s">
        <v>161</v>
      </c>
      <c r="D98" t="s">
        <v>35</v>
      </c>
      <c r="E98" t="s">
        <v>383</v>
      </c>
      <c r="F98" t="s">
        <v>384</v>
      </c>
      <c r="AU98">
        <v>174052.29</v>
      </c>
      <c r="AV98">
        <v>406122</v>
      </c>
      <c r="AW98">
        <v>406122</v>
      </c>
      <c r="AX98">
        <v>406122</v>
      </c>
      <c r="AY98">
        <v>232069.71</v>
      </c>
    </row>
    <row r="99" spans="1:51" x14ac:dyDescent="0.3">
      <c r="A99" t="s">
        <v>19</v>
      </c>
      <c r="B99" t="s">
        <v>242</v>
      </c>
      <c r="C99" t="s">
        <v>161</v>
      </c>
      <c r="D99" t="s">
        <v>35</v>
      </c>
      <c r="E99" t="s">
        <v>383</v>
      </c>
      <c r="F99" t="s">
        <v>385</v>
      </c>
    </row>
    <row r="100" spans="1:51" x14ac:dyDescent="0.3">
      <c r="A100" t="s">
        <v>19</v>
      </c>
      <c r="B100" t="s">
        <v>242</v>
      </c>
      <c r="C100" t="s">
        <v>161</v>
      </c>
      <c r="D100" t="s">
        <v>35</v>
      </c>
      <c r="E100" t="s">
        <v>383</v>
      </c>
      <c r="F100" t="s">
        <v>386</v>
      </c>
      <c r="AU100">
        <v>174052.29</v>
      </c>
      <c r="AV100">
        <v>406122</v>
      </c>
      <c r="AW100">
        <v>406122</v>
      </c>
      <c r="AX100">
        <v>406122</v>
      </c>
      <c r="AY100">
        <v>232069.71</v>
      </c>
    </row>
    <row r="101" spans="1:51" x14ac:dyDescent="0.3">
      <c r="A101" t="s">
        <v>19</v>
      </c>
      <c r="B101" t="s">
        <v>245</v>
      </c>
      <c r="C101" t="s">
        <v>161</v>
      </c>
      <c r="D101" t="s">
        <v>40</v>
      </c>
      <c r="E101" t="s">
        <v>383</v>
      </c>
      <c r="F101" t="s">
        <v>384</v>
      </c>
      <c r="P101">
        <v>373456.16</v>
      </c>
      <c r="Q101">
        <v>373456.16</v>
      </c>
      <c r="R101">
        <v>320105.28000000003</v>
      </c>
    </row>
    <row r="102" spans="1:51" x14ac:dyDescent="0.3">
      <c r="A102" t="s">
        <v>19</v>
      </c>
      <c r="B102" t="s">
        <v>245</v>
      </c>
      <c r="C102" t="s">
        <v>161</v>
      </c>
      <c r="D102" t="s">
        <v>40</v>
      </c>
      <c r="E102" t="s">
        <v>383</v>
      </c>
      <c r="F102" t="s">
        <v>385</v>
      </c>
      <c r="P102">
        <v>373456.16</v>
      </c>
      <c r="Q102">
        <v>373456.16</v>
      </c>
      <c r="R102">
        <v>320105.28000000003</v>
      </c>
    </row>
    <row r="103" spans="1:51" x14ac:dyDescent="0.3">
      <c r="A103" t="s">
        <v>19</v>
      </c>
      <c r="B103" t="s">
        <v>245</v>
      </c>
      <c r="C103" t="s">
        <v>161</v>
      </c>
      <c r="D103" t="s">
        <v>40</v>
      </c>
      <c r="E103" t="s">
        <v>383</v>
      </c>
      <c r="F103" t="s">
        <v>386</v>
      </c>
    </row>
    <row r="104" spans="1:51" x14ac:dyDescent="0.3">
      <c r="A104" t="s">
        <v>19</v>
      </c>
      <c r="B104" t="s">
        <v>248</v>
      </c>
      <c r="C104" t="s">
        <v>161</v>
      </c>
      <c r="D104" t="s">
        <v>40</v>
      </c>
      <c r="E104" t="s">
        <v>383</v>
      </c>
      <c r="F104" t="s">
        <v>384</v>
      </c>
      <c r="AD104">
        <v>96698.48</v>
      </c>
      <c r="AE104">
        <v>580190.88</v>
      </c>
      <c r="AG104">
        <v>96698.48</v>
      </c>
      <c r="AH104">
        <v>193396.96</v>
      </c>
    </row>
    <row r="105" spans="1:51" x14ac:dyDescent="0.3">
      <c r="A105" t="s">
        <v>19</v>
      </c>
      <c r="B105" t="s">
        <v>248</v>
      </c>
      <c r="C105" t="s">
        <v>161</v>
      </c>
      <c r="D105" t="s">
        <v>40</v>
      </c>
      <c r="E105" t="s">
        <v>383</v>
      </c>
      <c r="F105" t="s">
        <v>385</v>
      </c>
      <c r="AD105">
        <v>138140.69</v>
      </c>
      <c r="AE105">
        <v>828844.11</v>
      </c>
    </row>
    <row r="106" spans="1:51" x14ac:dyDescent="0.3">
      <c r="A106" t="s">
        <v>19</v>
      </c>
      <c r="B106" t="s">
        <v>248</v>
      </c>
      <c r="C106" t="s">
        <v>161</v>
      </c>
      <c r="D106" t="s">
        <v>40</v>
      </c>
      <c r="E106" t="s">
        <v>383</v>
      </c>
      <c r="F106" t="s">
        <v>386</v>
      </c>
    </row>
    <row r="107" spans="1:51" x14ac:dyDescent="0.3">
      <c r="A107" t="s">
        <v>19</v>
      </c>
      <c r="B107" t="s">
        <v>250</v>
      </c>
      <c r="C107" t="s">
        <v>161</v>
      </c>
      <c r="D107" t="s">
        <v>40</v>
      </c>
      <c r="E107" t="s">
        <v>383</v>
      </c>
      <c r="F107" t="s">
        <v>384</v>
      </c>
      <c r="R107">
        <v>10003.299999999999</v>
      </c>
      <c r="S107">
        <v>70023.100000000006</v>
      </c>
      <c r="T107">
        <v>70023.100000000006</v>
      </c>
      <c r="U107">
        <v>10003.299999999999</v>
      </c>
    </row>
    <row r="108" spans="1:51" x14ac:dyDescent="0.3">
      <c r="A108" t="s">
        <v>19</v>
      </c>
      <c r="B108" t="s">
        <v>250</v>
      </c>
      <c r="C108" t="s">
        <v>161</v>
      </c>
      <c r="D108" t="s">
        <v>40</v>
      </c>
      <c r="E108" t="s">
        <v>383</v>
      </c>
      <c r="F108" t="s">
        <v>385</v>
      </c>
      <c r="R108">
        <v>10003.299999999999</v>
      </c>
      <c r="S108">
        <v>70023.100000000006</v>
      </c>
      <c r="T108">
        <v>70023.100000000006</v>
      </c>
      <c r="U108">
        <v>10003.299999999999</v>
      </c>
    </row>
    <row r="109" spans="1:51" x14ac:dyDescent="0.3">
      <c r="A109" t="s">
        <v>19</v>
      </c>
      <c r="B109" t="s">
        <v>250</v>
      </c>
      <c r="C109" t="s">
        <v>161</v>
      </c>
      <c r="D109" t="s">
        <v>40</v>
      </c>
      <c r="E109" t="s">
        <v>383</v>
      </c>
      <c r="F109" t="s">
        <v>386</v>
      </c>
    </row>
    <row r="110" spans="1:51" x14ac:dyDescent="0.3">
      <c r="A110" t="s">
        <v>19</v>
      </c>
      <c r="B110" t="s">
        <v>252</v>
      </c>
      <c r="C110" t="s">
        <v>161</v>
      </c>
      <c r="D110" t="s">
        <v>40</v>
      </c>
      <c r="E110" t="s">
        <v>383</v>
      </c>
      <c r="F110" t="s">
        <v>384</v>
      </c>
      <c r="X110">
        <v>79192.73</v>
      </c>
      <c r="Y110">
        <v>554349.13</v>
      </c>
      <c r="Z110">
        <v>554349.13</v>
      </c>
      <c r="AA110">
        <v>554349.13</v>
      </c>
      <c r="AB110">
        <v>158385.47</v>
      </c>
    </row>
    <row r="111" spans="1:51" x14ac:dyDescent="0.3">
      <c r="A111" t="s">
        <v>19</v>
      </c>
      <c r="B111" t="s">
        <v>252</v>
      </c>
      <c r="C111" t="s">
        <v>161</v>
      </c>
      <c r="D111" t="s">
        <v>40</v>
      </c>
      <c r="E111" t="s">
        <v>383</v>
      </c>
      <c r="F111" t="s">
        <v>385</v>
      </c>
      <c r="X111">
        <v>79192.73</v>
      </c>
      <c r="Y111">
        <v>554349.13</v>
      </c>
      <c r="Z111">
        <v>554349.13</v>
      </c>
      <c r="AA111">
        <v>554349.13</v>
      </c>
      <c r="AB111">
        <v>158385.47</v>
      </c>
    </row>
    <row r="112" spans="1:51" x14ac:dyDescent="0.3">
      <c r="A112" t="s">
        <v>19</v>
      </c>
      <c r="B112" t="s">
        <v>252</v>
      </c>
      <c r="C112" t="s">
        <v>161</v>
      </c>
      <c r="D112" t="s">
        <v>40</v>
      </c>
      <c r="E112" t="s">
        <v>383</v>
      </c>
      <c r="F112" t="s">
        <v>386</v>
      </c>
    </row>
    <row r="113" spans="1:54" x14ac:dyDescent="0.3">
      <c r="A113" t="s">
        <v>19</v>
      </c>
      <c r="B113" t="s">
        <v>254</v>
      </c>
      <c r="C113" t="s">
        <v>161</v>
      </c>
      <c r="D113" t="s">
        <v>40</v>
      </c>
      <c r="E113" t="s">
        <v>383</v>
      </c>
      <c r="F113" t="s">
        <v>384</v>
      </c>
      <c r="AB113">
        <v>580816.22</v>
      </c>
      <c r="AC113">
        <v>813142.71</v>
      </c>
      <c r="AD113">
        <v>696979.47</v>
      </c>
    </row>
    <row r="114" spans="1:54" x14ac:dyDescent="0.3">
      <c r="A114" t="s">
        <v>19</v>
      </c>
      <c r="B114" t="s">
        <v>254</v>
      </c>
      <c r="C114" t="s">
        <v>161</v>
      </c>
      <c r="D114" t="s">
        <v>40</v>
      </c>
      <c r="E114" t="s">
        <v>383</v>
      </c>
      <c r="F114" t="s">
        <v>385</v>
      </c>
      <c r="AB114">
        <v>491985.51</v>
      </c>
      <c r="AC114">
        <v>860974.64</v>
      </c>
      <c r="AD114">
        <v>737978.26</v>
      </c>
    </row>
    <row r="115" spans="1:54" x14ac:dyDescent="0.3">
      <c r="A115" t="s">
        <v>19</v>
      </c>
      <c r="B115" t="s">
        <v>254</v>
      </c>
      <c r="C115" t="s">
        <v>161</v>
      </c>
      <c r="D115" t="s">
        <v>40</v>
      </c>
      <c r="E115" t="s">
        <v>383</v>
      </c>
      <c r="F115" t="s">
        <v>386</v>
      </c>
    </row>
    <row r="116" spans="1:54" x14ac:dyDescent="0.3">
      <c r="A116" t="s">
        <v>19</v>
      </c>
      <c r="B116" t="s">
        <v>256</v>
      </c>
      <c r="C116" t="s">
        <v>161</v>
      </c>
      <c r="D116" t="s">
        <v>40</v>
      </c>
      <c r="E116" t="s">
        <v>383</v>
      </c>
      <c r="F116" t="s">
        <v>384</v>
      </c>
      <c r="AS116">
        <v>629677.09</v>
      </c>
      <c r="AT116">
        <v>881547.93</v>
      </c>
      <c r="AU116">
        <v>881547.93</v>
      </c>
      <c r="AV116">
        <v>377806.25</v>
      </c>
    </row>
    <row r="117" spans="1:54" x14ac:dyDescent="0.3">
      <c r="A117" t="s">
        <v>19</v>
      </c>
      <c r="B117" t="s">
        <v>256</v>
      </c>
      <c r="C117" t="s">
        <v>161</v>
      </c>
      <c r="D117" t="s">
        <v>40</v>
      </c>
      <c r="E117" t="s">
        <v>383</v>
      </c>
      <c r="F117" t="s">
        <v>385</v>
      </c>
    </row>
    <row r="118" spans="1:54" x14ac:dyDescent="0.3">
      <c r="A118" t="s">
        <v>19</v>
      </c>
      <c r="B118" t="s">
        <v>256</v>
      </c>
      <c r="C118" t="s">
        <v>161</v>
      </c>
      <c r="D118" t="s">
        <v>40</v>
      </c>
      <c r="E118" t="s">
        <v>383</v>
      </c>
      <c r="F118" t="s">
        <v>386</v>
      </c>
      <c r="AS118">
        <v>629677.09</v>
      </c>
      <c r="AT118">
        <v>881547.93</v>
      </c>
      <c r="AU118">
        <v>881547.93</v>
      </c>
      <c r="AV118">
        <v>377806.25</v>
      </c>
    </row>
    <row r="119" spans="1:54" x14ac:dyDescent="0.3">
      <c r="A119" t="s">
        <v>19</v>
      </c>
      <c r="B119" t="s">
        <v>260</v>
      </c>
      <c r="C119" t="s">
        <v>161</v>
      </c>
      <c r="D119" t="s">
        <v>40</v>
      </c>
      <c r="E119" t="s">
        <v>383</v>
      </c>
      <c r="F119" t="s">
        <v>384</v>
      </c>
      <c r="AV119">
        <v>171986.53</v>
      </c>
      <c r="AW119">
        <v>300976.42</v>
      </c>
      <c r="AX119">
        <v>300976.42</v>
      </c>
      <c r="AY119">
        <v>42996.63</v>
      </c>
    </row>
    <row r="120" spans="1:54" x14ac:dyDescent="0.3">
      <c r="A120" t="s">
        <v>19</v>
      </c>
      <c r="B120" t="s">
        <v>260</v>
      </c>
      <c r="C120" t="s">
        <v>161</v>
      </c>
      <c r="D120" t="s">
        <v>40</v>
      </c>
      <c r="E120" t="s">
        <v>383</v>
      </c>
      <c r="F120" t="s">
        <v>385</v>
      </c>
    </row>
    <row r="121" spans="1:54" x14ac:dyDescent="0.3">
      <c r="A121" t="s">
        <v>19</v>
      </c>
      <c r="B121" t="s">
        <v>260</v>
      </c>
      <c r="C121" t="s">
        <v>161</v>
      </c>
      <c r="D121" t="s">
        <v>40</v>
      </c>
      <c r="E121" t="s">
        <v>383</v>
      </c>
      <c r="F121" t="s">
        <v>386</v>
      </c>
      <c r="AV121">
        <v>171986.53</v>
      </c>
      <c r="AW121">
        <v>300976.42</v>
      </c>
      <c r="AX121">
        <v>300976.42</v>
      </c>
      <c r="AY121">
        <v>42996.63</v>
      </c>
    </row>
    <row r="122" spans="1:54" x14ac:dyDescent="0.3">
      <c r="A122" t="s">
        <v>19</v>
      </c>
      <c r="B122" t="s">
        <v>262</v>
      </c>
      <c r="C122" t="s">
        <v>161</v>
      </c>
      <c r="D122" t="s">
        <v>45</v>
      </c>
      <c r="E122" t="s">
        <v>383</v>
      </c>
      <c r="F122" t="s">
        <v>384</v>
      </c>
      <c r="AM122">
        <v>952313.52</v>
      </c>
      <c r="AN122">
        <v>2222064.88</v>
      </c>
      <c r="AO122">
        <v>2222064.88</v>
      </c>
      <c r="AP122">
        <v>2222064.88</v>
      </c>
      <c r="AQ122">
        <v>1904627.04</v>
      </c>
    </row>
    <row r="123" spans="1:54" x14ac:dyDescent="0.3">
      <c r="A123" t="s">
        <v>19</v>
      </c>
      <c r="B123" t="s">
        <v>262</v>
      </c>
      <c r="C123" t="s">
        <v>161</v>
      </c>
      <c r="D123" t="s">
        <v>45</v>
      </c>
      <c r="E123" t="s">
        <v>383</v>
      </c>
      <c r="F123" t="s">
        <v>385</v>
      </c>
      <c r="AO123">
        <v>1904627</v>
      </c>
    </row>
    <row r="124" spans="1:54" x14ac:dyDescent="0.3">
      <c r="A124" t="s">
        <v>19</v>
      </c>
      <c r="B124" t="s">
        <v>262</v>
      </c>
      <c r="C124" t="s">
        <v>161</v>
      </c>
      <c r="D124" t="s">
        <v>45</v>
      </c>
      <c r="E124" t="s">
        <v>383</v>
      </c>
      <c r="F124" t="s">
        <v>386</v>
      </c>
      <c r="AO124">
        <v>7618508.2000000002</v>
      </c>
    </row>
    <row r="125" spans="1:54" x14ac:dyDescent="0.3">
      <c r="A125" t="s">
        <v>19</v>
      </c>
      <c r="B125" t="s">
        <v>267</v>
      </c>
      <c r="C125" t="s">
        <v>161</v>
      </c>
      <c r="D125" t="s">
        <v>31</v>
      </c>
      <c r="E125" t="s">
        <v>383</v>
      </c>
      <c r="F125" t="s">
        <v>384</v>
      </c>
      <c r="AY125">
        <v>1923759.93</v>
      </c>
      <c r="AZ125">
        <v>2244386.58</v>
      </c>
      <c r="BA125">
        <v>2244386.58</v>
      </c>
      <c r="BB125">
        <v>641253.31000000006</v>
      </c>
    </row>
    <row r="126" spans="1:54" x14ac:dyDescent="0.3">
      <c r="A126" t="s">
        <v>19</v>
      </c>
      <c r="B126" t="s">
        <v>267</v>
      </c>
      <c r="C126" t="s">
        <v>161</v>
      </c>
      <c r="D126" t="s">
        <v>31</v>
      </c>
      <c r="E126" t="s">
        <v>383</v>
      </c>
      <c r="F126" t="s">
        <v>385</v>
      </c>
    </row>
    <row r="127" spans="1:54" x14ac:dyDescent="0.3">
      <c r="A127" t="s">
        <v>19</v>
      </c>
      <c r="B127" t="s">
        <v>267</v>
      </c>
      <c r="C127" t="s">
        <v>161</v>
      </c>
      <c r="D127" t="s">
        <v>31</v>
      </c>
      <c r="E127" t="s">
        <v>383</v>
      </c>
      <c r="F127" t="s">
        <v>386</v>
      </c>
      <c r="AY127">
        <v>1923759.93</v>
      </c>
      <c r="AZ127">
        <v>2244386.58</v>
      </c>
      <c r="BA127">
        <v>2244386.58</v>
      </c>
      <c r="BB127">
        <v>641253.31000000006</v>
      </c>
    </row>
    <row r="128" spans="1:54" x14ac:dyDescent="0.3">
      <c r="A128" t="s">
        <v>19</v>
      </c>
      <c r="B128" t="s">
        <v>270</v>
      </c>
      <c r="C128" t="s">
        <v>161</v>
      </c>
      <c r="D128" t="s">
        <v>61</v>
      </c>
      <c r="E128" t="s">
        <v>383</v>
      </c>
      <c r="F128" t="s">
        <v>384</v>
      </c>
      <c r="AW128">
        <v>8894.49</v>
      </c>
      <c r="AX128">
        <v>62261.42</v>
      </c>
      <c r="AY128">
        <v>8894.49</v>
      </c>
    </row>
    <row r="129" spans="1:58" x14ac:dyDescent="0.3">
      <c r="A129" t="s">
        <v>19</v>
      </c>
      <c r="B129" t="s">
        <v>270</v>
      </c>
      <c r="C129" t="s">
        <v>161</v>
      </c>
      <c r="D129" t="s">
        <v>61</v>
      </c>
      <c r="E129" t="s">
        <v>383</v>
      </c>
      <c r="F129" t="s">
        <v>385</v>
      </c>
    </row>
    <row r="130" spans="1:58" x14ac:dyDescent="0.3">
      <c r="A130" t="s">
        <v>19</v>
      </c>
      <c r="B130" t="s">
        <v>270</v>
      </c>
      <c r="C130" t="s">
        <v>161</v>
      </c>
      <c r="D130" t="s">
        <v>61</v>
      </c>
      <c r="E130" t="s">
        <v>383</v>
      </c>
      <c r="F130" t="s">
        <v>386</v>
      </c>
      <c r="AW130">
        <v>8894.49</v>
      </c>
      <c r="AX130">
        <v>62261.42</v>
      </c>
      <c r="AY130">
        <v>8894.49</v>
      </c>
    </row>
    <row r="131" spans="1:58" x14ac:dyDescent="0.3">
      <c r="A131" t="s">
        <v>19</v>
      </c>
      <c r="B131" t="s">
        <v>273</v>
      </c>
      <c r="C131" t="s">
        <v>161</v>
      </c>
      <c r="D131" t="s">
        <v>64</v>
      </c>
      <c r="E131" t="s">
        <v>383</v>
      </c>
      <c r="F131" t="s">
        <v>384</v>
      </c>
      <c r="AY131">
        <v>32322.720000000001</v>
      </c>
      <c r="AZ131">
        <v>21548.48</v>
      </c>
    </row>
    <row r="132" spans="1:58" x14ac:dyDescent="0.3">
      <c r="A132" t="s">
        <v>19</v>
      </c>
      <c r="B132" t="s">
        <v>273</v>
      </c>
      <c r="C132" t="s">
        <v>161</v>
      </c>
      <c r="D132" t="s">
        <v>64</v>
      </c>
      <c r="E132" t="s">
        <v>383</v>
      </c>
      <c r="F132" t="s">
        <v>385</v>
      </c>
    </row>
    <row r="133" spans="1:58" x14ac:dyDescent="0.3">
      <c r="A133" t="s">
        <v>19</v>
      </c>
      <c r="B133" t="s">
        <v>273</v>
      </c>
      <c r="C133" t="s">
        <v>161</v>
      </c>
      <c r="D133" t="s">
        <v>64</v>
      </c>
      <c r="E133" t="s">
        <v>383</v>
      </c>
      <c r="F133" t="s">
        <v>386</v>
      </c>
      <c r="AY133">
        <v>32322.720000000001</v>
      </c>
      <c r="AZ133">
        <v>21548.48</v>
      </c>
    </row>
    <row r="134" spans="1:58" x14ac:dyDescent="0.3">
      <c r="A134" t="s">
        <v>19</v>
      </c>
      <c r="B134" t="s">
        <v>275</v>
      </c>
      <c r="C134" t="s">
        <v>161</v>
      </c>
      <c r="D134" t="s">
        <v>35</v>
      </c>
      <c r="E134" t="s">
        <v>383</v>
      </c>
      <c r="F134" t="s">
        <v>384</v>
      </c>
      <c r="BB134">
        <v>290087.14</v>
      </c>
      <c r="BC134">
        <v>406122</v>
      </c>
      <c r="BD134">
        <v>406122</v>
      </c>
      <c r="BE134">
        <v>406122</v>
      </c>
      <c r="BF134">
        <v>116034.86</v>
      </c>
    </row>
    <row r="135" spans="1:58" x14ac:dyDescent="0.3">
      <c r="A135" t="s">
        <v>19</v>
      </c>
      <c r="B135" t="s">
        <v>275</v>
      </c>
      <c r="C135" t="s">
        <v>161</v>
      </c>
      <c r="D135" t="s">
        <v>35</v>
      </c>
      <c r="E135" t="s">
        <v>383</v>
      </c>
      <c r="F135" t="s">
        <v>385</v>
      </c>
    </row>
    <row r="136" spans="1:58" x14ac:dyDescent="0.3">
      <c r="A136" t="s">
        <v>19</v>
      </c>
      <c r="B136" t="s">
        <v>275</v>
      </c>
      <c r="C136" t="s">
        <v>161</v>
      </c>
      <c r="D136" t="s">
        <v>35</v>
      </c>
      <c r="E136" t="s">
        <v>383</v>
      </c>
      <c r="F136" t="s">
        <v>386</v>
      </c>
      <c r="BB136">
        <v>290087.14</v>
      </c>
      <c r="BC136">
        <v>406122</v>
      </c>
      <c r="BD136">
        <v>406122</v>
      </c>
      <c r="BE136">
        <v>406122</v>
      </c>
      <c r="BF136">
        <v>116034.86</v>
      </c>
    </row>
    <row r="137" spans="1:58" x14ac:dyDescent="0.3">
      <c r="A137" t="s">
        <v>19</v>
      </c>
      <c r="B137" t="s">
        <v>278</v>
      </c>
      <c r="C137" t="s">
        <v>161</v>
      </c>
      <c r="D137" t="s">
        <v>40</v>
      </c>
      <c r="E137" t="s">
        <v>383</v>
      </c>
      <c r="F137" t="s">
        <v>384</v>
      </c>
      <c r="R137">
        <v>53350.879999999997</v>
      </c>
      <c r="S137">
        <v>373456.16</v>
      </c>
      <c r="T137">
        <v>373456.16</v>
      </c>
      <c r="U137">
        <v>266754.40000000002</v>
      </c>
    </row>
    <row r="138" spans="1:58" x14ac:dyDescent="0.3">
      <c r="A138" t="s">
        <v>19</v>
      </c>
      <c r="B138" t="s">
        <v>278</v>
      </c>
      <c r="C138" t="s">
        <v>161</v>
      </c>
      <c r="D138" t="s">
        <v>40</v>
      </c>
      <c r="E138" t="s">
        <v>383</v>
      </c>
      <c r="F138" t="s">
        <v>385</v>
      </c>
      <c r="R138">
        <v>53350.879999999997</v>
      </c>
      <c r="S138">
        <v>373456.16</v>
      </c>
      <c r="T138">
        <v>373456.16</v>
      </c>
      <c r="U138">
        <v>266754.40000000002</v>
      </c>
    </row>
    <row r="139" spans="1:58" x14ac:dyDescent="0.3">
      <c r="A139" t="s">
        <v>19</v>
      </c>
      <c r="B139" t="s">
        <v>278</v>
      </c>
      <c r="C139" t="s">
        <v>161</v>
      </c>
      <c r="D139" t="s">
        <v>40</v>
      </c>
      <c r="E139" t="s">
        <v>383</v>
      </c>
      <c r="F139" t="s">
        <v>386</v>
      </c>
    </row>
    <row r="140" spans="1:58" x14ac:dyDescent="0.3">
      <c r="A140" t="s">
        <v>19</v>
      </c>
      <c r="B140" t="s">
        <v>281</v>
      </c>
      <c r="C140" t="s">
        <v>161</v>
      </c>
      <c r="D140" t="s">
        <v>40</v>
      </c>
      <c r="E140" t="s">
        <v>383</v>
      </c>
      <c r="F140" t="s">
        <v>384</v>
      </c>
      <c r="AI140">
        <v>483492.4</v>
      </c>
      <c r="AJ140">
        <v>483492.4</v>
      </c>
    </row>
    <row r="141" spans="1:58" x14ac:dyDescent="0.3">
      <c r="A141" t="s">
        <v>19</v>
      </c>
      <c r="B141" t="s">
        <v>281</v>
      </c>
      <c r="C141" t="s">
        <v>161</v>
      </c>
      <c r="D141" t="s">
        <v>40</v>
      </c>
      <c r="E141" t="s">
        <v>383</v>
      </c>
      <c r="F141" t="s">
        <v>385</v>
      </c>
      <c r="AI141">
        <v>345351.71</v>
      </c>
      <c r="AJ141">
        <v>483492.4</v>
      </c>
      <c r="AK141">
        <v>138140.69</v>
      </c>
    </row>
    <row r="142" spans="1:58" x14ac:dyDescent="0.3">
      <c r="A142" t="s">
        <v>19</v>
      </c>
      <c r="B142" t="s">
        <v>281</v>
      </c>
      <c r="C142" t="s">
        <v>161</v>
      </c>
      <c r="D142" t="s">
        <v>40</v>
      </c>
      <c r="E142" t="s">
        <v>383</v>
      </c>
      <c r="F142" t="s">
        <v>386</v>
      </c>
    </row>
    <row r="143" spans="1:58" x14ac:dyDescent="0.3">
      <c r="A143" t="s">
        <v>19</v>
      </c>
      <c r="B143" t="s">
        <v>283</v>
      </c>
      <c r="C143" t="s">
        <v>161</v>
      </c>
      <c r="D143" t="s">
        <v>40</v>
      </c>
      <c r="E143" t="s">
        <v>383</v>
      </c>
      <c r="F143" t="s">
        <v>384</v>
      </c>
      <c r="X143">
        <v>60019.8</v>
      </c>
      <c r="Y143">
        <v>70023.100000000006</v>
      </c>
      <c r="Z143">
        <v>30009.9</v>
      </c>
    </row>
    <row r="144" spans="1:58" x14ac:dyDescent="0.3">
      <c r="A144" t="s">
        <v>19</v>
      </c>
      <c r="B144" t="s">
        <v>283</v>
      </c>
      <c r="C144" t="s">
        <v>161</v>
      </c>
      <c r="D144" t="s">
        <v>40</v>
      </c>
      <c r="E144" t="s">
        <v>383</v>
      </c>
      <c r="F144" t="s">
        <v>385</v>
      </c>
      <c r="X144">
        <v>60019.8</v>
      </c>
      <c r="Y144">
        <v>70023.100000000006</v>
      </c>
      <c r="Z144">
        <v>30009.9</v>
      </c>
    </row>
    <row r="145" spans="1:55" x14ac:dyDescent="0.3">
      <c r="A145" t="s">
        <v>19</v>
      </c>
      <c r="B145" t="s">
        <v>283</v>
      </c>
      <c r="C145" t="s">
        <v>161</v>
      </c>
      <c r="D145" t="s">
        <v>40</v>
      </c>
      <c r="E145" t="s">
        <v>383</v>
      </c>
      <c r="F145" t="s">
        <v>386</v>
      </c>
    </row>
    <row r="146" spans="1:55" x14ac:dyDescent="0.3">
      <c r="A146" t="s">
        <v>19</v>
      </c>
      <c r="B146" t="s">
        <v>285</v>
      </c>
      <c r="C146" t="s">
        <v>161</v>
      </c>
      <c r="D146" t="s">
        <v>40</v>
      </c>
      <c r="E146" t="s">
        <v>383</v>
      </c>
      <c r="F146" t="s">
        <v>384</v>
      </c>
      <c r="AB146">
        <v>395963.67</v>
      </c>
      <c r="AC146">
        <v>554349.13</v>
      </c>
      <c r="AD146">
        <v>554349.13</v>
      </c>
      <c r="AE146">
        <v>395963.67</v>
      </c>
    </row>
    <row r="147" spans="1:55" x14ac:dyDescent="0.3">
      <c r="A147" t="s">
        <v>19</v>
      </c>
      <c r="B147" t="s">
        <v>285</v>
      </c>
      <c r="C147" t="s">
        <v>161</v>
      </c>
      <c r="D147" t="s">
        <v>40</v>
      </c>
      <c r="E147" t="s">
        <v>383</v>
      </c>
      <c r="F147" t="s">
        <v>385</v>
      </c>
      <c r="AB147">
        <v>395963.67</v>
      </c>
      <c r="AC147">
        <v>554349.13</v>
      </c>
      <c r="AD147">
        <v>554349.13</v>
      </c>
      <c r="AE147">
        <v>395963.67</v>
      </c>
    </row>
    <row r="148" spans="1:55" x14ac:dyDescent="0.3">
      <c r="A148" t="s">
        <v>19</v>
      </c>
      <c r="B148" t="s">
        <v>285</v>
      </c>
      <c r="C148" t="s">
        <v>161</v>
      </c>
      <c r="D148" t="s">
        <v>40</v>
      </c>
      <c r="E148" t="s">
        <v>383</v>
      </c>
      <c r="F148" t="s">
        <v>386</v>
      </c>
    </row>
    <row r="149" spans="1:55" x14ac:dyDescent="0.3">
      <c r="A149" t="s">
        <v>19</v>
      </c>
      <c r="B149" t="s">
        <v>287</v>
      </c>
      <c r="C149" t="s">
        <v>161</v>
      </c>
      <c r="D149" t="s">
        <v>40</v>
      </c>
      <c r="E149" t="s">
        <v>383</v>
      </c>
      <c r="F149" t="s">
        <v>384</v>
      </c>
      <c r="AE149">
        <v>116163.24</v>
      </c>
      <c r="AG149">
        <v>116163.24</v>
      </c>
      <c r="AH149">
        <v>813142.71</v>
      </c>
      <c r="AI149">
        <v>813142.71</v>
      </c>
      <c r="AJ149">
        <v>232326.49</v>
      </c>
    </row>
    <row r="150" spans="1:55" x14ac:dyDescent="0.3">
      <c r="A150" t="s">
        <v>19</v>
      </c>
      <c r="B150" t="s">
        <v>287</v>
      </c>
      <c r="C150" t="s">
        <v>161</v>
      </c>
      <c r="D150" t="s">
        <v>40</v>
      </c>
      <c r="E150" t="s">
        <v>383</v>
      </c>
      <c r="F150" t="s">
        <v>385</v>
      </c>
      <c r="AE150">
        <v>190085.31</v>
      </c>
      <c r="AG150">
        <v>190085.31</v>
      </c>
      <c r="AH150">
        <v>1330597.1599999999</v>
      </c>
      <c r="AI150">
        <v>380170.62</v>
      </c>
    </row>
    <row r="151" spans="1:55" x14ac:dyDescent="0.3">
      <c r="A151" t="s">
        <v>19</v>
      </c>
      <c r="B151" t="s">
        <v>287</v>
      </c>
      <c r="C151" t="s">
        <v>161</v>
      </c>
      <c r="D151" t="s">
        <v>40</v>
      </c>
      <c r="E151" t="s">
        <v>383</v>
      </c>
      <c r="F151" t="s">
        <v>386</v>
      </c>
    </row>
    <row r="152" spans="1:55" x14ac:dyDescent="0.3">
      <c r="A152" t="s">
        <v>19</v>
      </c>
      <c r="B152" t="s">
        <v>289</v>
      </c>
      <c r="C152" t="s">
        <v>161</v>
      </c>
      <c r="D152" t="s">
        <v>40</v>
      </c>
      <c r="E152" t="s">
        <v>383</v>
      </c>
      <c r="F152" t="s">
        <v>384</v>
      </c>
      <c r="AW152">
        <v>377806.25</v>
      </c>
      <c r="AX152">
        <v>881547.93</v>
      </c>
      <c r="AY152">
        <v>881547.93</v>
      </c>
      <c r="AZ152">
        <v>629677.09</v>
      </c>
    </row>
    <row r="153" spans="1:55" x14ac:dyDescent="0.3">
      <c r="A153" t="s">
        <v>19</v>
      </c>
      <c r="B153" t="s">
        <v>289</v>
      </c>
      <c r="C153" t="s">
        <v>161</v>
      </c>
      <c r="D153" t="s">
        <v>40</v>
      </c>
      <c r="E153" t="s">
        <v>383</v>
      </c>
      <c r="F153" t="s">
        <v>385</v>
      </c>
    </row>
    <row r="154" spans="1:55" x14ac:dyDescent="0.3">
      <c r="A154" t="s">
        <v>19</v>
      </c>
      <c r="B154" t="s">
        <v>289</v>
      </c>
      <c r="C154" t="s">
        <v>161</v>
      </c>
      <c r="D154" t="s">
        <v>40</v>
      </c>
      <c r="E154" t="s">
        <v>383</v>
      </c>
      <c r="F154" t="s">
        <v>386</v>
      </c>
      <c r="AW154">
        <v>377806.25</v>
      </c>
      <c r="AX154">
        <v>881547.93</v>
      </c>
      <c r="AY154">
        <v>881547.93</v>
      </c>
      <c r="AZ154">
        <v>629677.09</v>
      </c>
    </row>
    <row r="155" spans="1:55" x14ac:dyDescent="0.3">
      <c r="A155" t="s">
        <v>19</v>
      </c>
      <c r="B155" t="s">
        <v>291</v>
      </c>
      <c r="C155" t="s">
        <v>161</v>
      </c>
      <c r="D155" t="s">
        <v>40</v>
      </c>
      <c r="E155" t="s">
        <v>383</v>
      </c>
      <c r="F155" t="s">
        <v>384</v>
      </c>
      <c r="AZ155">
        <v>85993.26</v>
      </c>
      <c r="BA155">
        <v>300976.42</v>
      </c>
      <c r="BB155">
        <v>300976.42</v>
      </c>
      <c r="BC155">
        <v>128989.89</v>
      </c>
    </row>
    <row r="156" spans="1:55" x14ac:dyDescent="0.3">
      <c r="A156" t="s">
        <v>19</v>
      </c>
      <c r="B156" t="s">
        <v>291</v>
      </c>
      <c r="C156" t="s">
        <v>161</v>
      </c>
      <c r="D156" t="s">
        <v>40</v>
      </c>
      <c r="E156" t="s">
        <v>383</v>
      </c>
      <c r="F156" t="s">
        <v>385</v>
      </c>
    </row>
    <row r="157" spans="1:55" x14ac:dyDescent="0.3">
      <c r="A157" t="s">
        <v>19</v>
      </c>
      <c r="B157" t="s">
        <v>291</v>
      </c>
      <c r="C157" t="s">
        <v>161</v>
      </c>
      <c r="D157" t="s">
        <v>40</v>
      </c>
      <c r="E157" t="s">
        <v>383</v>
      </c>
      <c r="F157" t="s">
        <v>386</v>
      </c>
      <c r="AZ157">
        <v>85993.26</v>
      </c>
      <c r="BA157">
        <v>300976.42</v>
      </c>
      <c r="BB157">
        <v>300976.42</v>
      </c>
      <c r="BC157">
        <v>128989.89</v>
      </c>
    </row>
    <row r="158" spans="1:55" x14ac:dyDescent="0.3">
      <c r="A158" t="s">
        <v>19</v>
      </c>
      <c r="B158" t="s">
        <v>293</v>
      </c>
      <c r="C158" t="s">
        <v>161</v>
      </c>
      <c r="D158" t="s">
        <v>45</v>
      </c>
      <c r="E158" t="s">
        <v>383</v>
      </c>
      <c r="F158" t="s">
        <v>384</v>
      </c>
      <c r="AS158">
        <v>1587189.2</v>
      </c>
      <c r="AT158">
        <v>2222064.88</v>
      </c>
      <c r="AU158">
        <v>2222064.88</v>
      </c>
      <c r="AV158">
        <v>2222064.88</v>
      </c>
      <c r="AW158">
        <v>1269751.3600000001</v>
      </c>
    </row>
    <row r="159" spans="1:55" x14ac:dyDescent="0.3">
      <c r="A159" t="s">
        <v>19</v>
      </c>
      <c r="B159" t="s">
        <v>293</v>
      </c>
      <c r="C159" t="s">
        <v>161</v>
      </c>
      <c r="D159" t="s">
        <v>45</v>
      </c>
      <c r="E159" t="s">
        <v>383</v>
      </c>
      <c r="F159" t="s">
        <v>385</v>
      </c>
    </row>
    <row r="160" spans="1:55" x14ac:dyDescent="0.3">
      <c r="A160" t="s">
        <v>19</v>
      </c>
      <c r="B160" t="s">
        <v>293</v>
      </c>
      <c r="C160" t="s">
        <v>161</v>
      </c>
      <c r="D160" t="s">
        <v>45</v>
      </c>
      <c r="E160" t="s">
        <v>383</v>
      </c>
      <c r="F160" t="s">
        <v>386</v>
      </c>
      <c r="AS160">
        <v>1587189.2</v>
      </c>
      <c r="AT160">
        <v>2222064.88</v>
      </c>
      <c r="AU160">
        <v>2222064.88</v>
      </c>
      <c r="AV160">
        <v>2222064.88</v>
      </c>
      <c r="AW160">
        <v>1269751.3600000001</v>
      </c>
    </row>
    <row r="161" spans="1:62" x14ac:dyDescent="0.3">
      <c r="A161" t="s">
        <v>19</v>
      </c>
      <c r="B161" t="s">
        <v>298</v>
      </c>
      <c r="C161" t="s">
        <v>161</v>
      </c>
      <c r="D161" t="s">
        <v>31</v>
      </c>
      <c r="E161" t="s">
        <v>383</v>
      </c>
      <c r="F161" t="s">
        <v>384</v>
      </c>
      <c r="BC161">
        <v>1282506.6200000001</v>
      </c>
      <c r="BD161">
        <v>2244386.58</v>
      </c>
      <c r="BE161">
        <v>2244386.58</v>
      </c>
      <c r="BF161">
        <v>1282506.6200000001</v>
      </c>
    </row>
    <row r="162" spans="1:62" x14ac:dyDescent="0.3">
      <c r="A162" t="s">
        <v>19</v>
      </c>
      <c r="B162" t="s">
        <v>298</v>
      </c>
      <c r="C162" t="s">
        <v>161</v>
      </c>
      <c r="D162" t="s">
        <v>31</v>
      </c>
      <c r="E162" t="s">
        <v>383</v>
      </c>
      <c r="F162" t="s">
        <v>385</v>
      </c>
    </row>
    <row r="163" spans="1:62" x14ac:dyDescent="0.3">
      <c r="A163" t="s">
        <v>19</v>
      </c>
      <c r="B163" t="s">
        <v>298</v>
      </c>
      <c r="C163" t="s">
        <v>161</v>
      </c>
      <c r="D163" t="s">
        <v>31</v>
      </c>
      <c r="E163" t="s">
        <v>383</v>
      </c>
      <c r="F163" t="s">
        <v>386</v>
      </c>
      <c r="BC163">
        <v>1282506.6200000001</v>
      </c>
      <c r="BD163">
        <v>2244386.58</v>
      </c>
      <c r="BE163">
        <v>2244386.58</v>
      </c>
      <c r="BF163">
        <v>1282506.6200000001</v>
      </c>
    </row>
    <row r="164" spans="1:62" x14ac:dyDescent="0.3">
      <c r="A164" t="s">
        <v>19</v>
      </c>
      <c r="B164" t="s">
        <v>301</v>
      </c>
      <c r="C164" t="s">
        <v>161</v>
      </c>
      <c r="D164" t="s">
        <v>61</v>
      </c>
      <c r="E164" t="s">
        <v>383</v>
      </c>
      <c r="F164" t="s">
        <v>384</v>
      </c>
      <c r="BB164">
        <v>53366.93</v>
      </c>
      <c r="BC164">
        <v>26683.47</v>
      </c>
    </row>
    <row r="165" spans="1:62" x14ac:dyDescent="0.3">
      <c r="A165" t="s">
        <v>19</v>
      </c>
      <c r="B165" t="s">
        <v>301</v>
      </c>
      <c r="C165" t="s">
        <v>161</v>
      </c>
      <c r="D165" t="s">
        <v>61</v>
      </c>
      <c r="E165" t="s">
        <v>383</v>
      </c>
      <c r="F165" t="s">
        <v>385</v>
      </c>
    </row>
    <row r="166" spans="1:62" x14ac:dyDescent="0.3">
      <c r="A166" t="s">
        <v>19</v>
      </c>
      <c r="B166" t="s">
        <v>301</v>
      </c>
      <c r="C166" t="s">
        <v>161</v>
      </c>
      <c r="D166" t="s">
        <v>61</v>
      </c>
      <c r="E166" t="s">
        <v>383</v>
      </c>
      <c r="F166" t="s">
        <v>386</v>
      </c>
      <c r="BB166">
        <v>53366.93</v>
      </c>
      <c r="BC166">
        <v>26683.47</v>
      </c>
    </row>
    <row r="167" spans="1:62" x14ac:dyDescent="0.3">
      <c r="A167" t="s">
        <v>19</v>
      </c>
      <c r="B167" t="s">
        <v>304</v>
      </c>
      <c r="C167" t="s">
        <v>161</v>
      </c>
      <c r="D167" t="s">
        <v>64</v>
      </c>
      <c r="E167" t="s">
        <v>383</v>
      </c>
      <c r="F167" t="s">
        <v>384</v>
      </c>
      <c r="BC167">
        <v>21548.48</v>
      </c>
      <c r="BD167">
        <v>32322.720000000001</v>
      </c>
    </row>
    <row r="168" spans="1:62" x14ac:dyDescent="0.3">
      <c r="A168" t="s">
        <v>19</v>
      </c>
      <c r="B168" t="s">
        <v>304</v>
      </c>
      <c r="C168" t="s">
        <v>161</v>
      </c>
      <c r="D168" t="s">
        <v>64</v>
      </c>
      <c r="E168" t="s">
        <v>383</v>
      </c>
      <c r="F168" t="s">
        <v>385</v>
      </c>
    </row>
    <row r="169" spans="1:62" x14ac:dyDescent="0.3">
      <c r="A169" t="s">
        <v>19</v>
      </c>
      <c r="B169" t="s">
        <v>304</v>
      </c>
      <c r="C169" t="s">
        <v>161</v>
      </c>
      <c r="D169" t="s">
        <v>64</v>
      </c>
      <c r="E169" t="s">
        <v>383</v>
      </c>
      <c r="F169" t="s">
        <v>386</v>
      </c>
      <c r="BC169">
        <v>21548.48</v>
      </c>
      <c r="BD169">
        <v>32322.720000000001</v>
      </c>
    </row>
    <row r="170" spans="1:62" x14ac:dyDescent="0.3">
      <c r="A170" t="s">
        <v>19</v>
      </c>
      <c r="B170" t="s">
        <v>306</v>
      </c>
      <c r="C170" t="s">
        <v>161</v>
      </c>
      <c r="D170" t="s">
        <v>35</v>
      </c>
      <c r="E170" t="s">
        <v>383</v>
      </c>
      <c r="F170" t="s">
        <v>384</v>
      </c>
      <c r="BF170">
        <v>174052.29</v>
      </c>
      <c r="BG170">
        <v>406122</v>
      </c>
      <c r="BH170">
        <v>406122</v>
      </c>
      <c r="BI170">
        <v>406122</v>
      </c>
      <c r="BJ170">
        <v>232069.71</v>
      </c>
    </row>
    <row r="171" spans="1:62" x14ac:dyDescent="0.3">
      <c r="A171" t="s">
        <v>19</v>
      </c>
      <c r="B171" t="s">
        <v>306</v>
      </c>
      <c r="C171" t="s">
        <v>161</v>
      </c>
      <c r="D171" t="s">
        <v>35</v>
      </c>
      <c r="E171" t="s">
        <v>383</v>
      </c>
      <c r="F171" t="s">
        <v>385</v>
      </c>
    </row>
    <row r="172" spans="1:62" x14ac:dyDescent="0.3">
      <c r="A172" t="s">
        <v>19</v>
      </c>
      <c r="B172" t="s">
        <v>306</v>
      </c>
      <c r="C172" t="s">
        <v>161</v>
      </c>
      <c r="D172" t="s">
        <v>35</v>
      </c>
      <c r="E172" t="s">
        <v>383</v>
      </c>
      <c r="F172" t="s">
        <v>386</v>
      </c>
      <c r="BF172">
        <v>174052.29</v>
      </c>
      <c r="BG172">
        <v>406122</v>
      </c>
      <c r="BH172">
        <v>406122</v>
      </c>
      <c r="BI172">
        <v>406122</v>
      </c>
      <c r="BJ172">
        <v>232069.71</v>
      </c>
    </row>
    <row r="173" spans="1:62" x14ac:dyDescent="0.3">
      <c r="A173" t="s">
        <v>19</v>
      </c>
      <c r="B173" t="s">
        <v>309</v>
      </c>
      <c r="C173" t="s">
        <v>312</v>
      </c>
      <c r="D173" t="s">
        <v>45</v>
      </c>
      <c r="E173" t="s">
        <v>383</v>
      </c>
      <c r="F173" t="s">
        <v>384</v>
      </c>
    </row>
    <row r="174" spans="1:62" x14ac:dyDescent="0.3">
      <c r="A174" t="s">
        <v>19</v>
      </c>
      <c r="B174" t="s">
        <v>309</v>
      </c>
      <c r="C174" t="s">
        <v>312</v>
      </c>
      <c r="D174" t="s">
        <v>45</v>
      </c>
      <c r="E174" t="s">
        <v>383</v>
      </c>
      <c r="F174" t="s">
        <v>385</v>
      </c>
    </row>
    <row r="175" spans="1:62" x14ac:dyDescent="0.3">
      <c r="A175" t="s">
        <v>19</v>
      </c>
      <c r="B175" t="s">
        <v>309</v>
      </c>
      <c r="C175" t="s">
        <v>312</v>
      </c>
      <c r="D175" t="s">
        <v>45</v>
      </c>
      <c r="E175" t="s">
        <v>383</v>
      </c>
      <c r="F175" t="s">
        <v>386</v>
      </c>
    </row>
    <row r="176" spans="1:62" x14ac:dyDescent="0.3">
      <c r="A176" t="s">
        <v>19</v>
      </c>
      <c r="B176" t="s">
        <v>313</v>
      </c>
      <c r="C176" t="s">
        <v>312</v>
      </c>
      <c r="D176" t="s">
        <v>31</v>
      </c>
      <c r="E176" t="s">
        <v>383</v>
      </c>
      <c r="F176" t="s">
        <v>384</v>
      </c>
    </row>
    <row r="177" spans="1:6" x14ac:dyDescent="0.3">
      <c r="A177" t="s">
        <v>19</v>
      </c>
      <c r="B177" t="s">
        <v>313</v>
      </c>
      <c r="C177" t="s">
        <v>312</v>
      </c>
      <c r="D177" t="s">
        <v>31</v>
      </c>
      <c r="E177" t="s">
        <v>383</v>
      </c>
      <c r="F177" t="s">
        <v>385</v>
      </c>
    </row>
    <row r="178" spans="1:6" x14ac:dyDescent="0.3">
      <c r="A178" t="s">
        <v>19</v>
      </c>
      <c r="B178" t="s">
        <v>313</v>
      </c>
      <c r="C178" t="s">
        <v>312</v>
      </c>
      <c r="D178" t="s">
        <v>31</v>
      </c>
      <c r="E178" t="s">
        <v>383</v>
      </c>
      <c r="F178" t="s">
        <v>386</v>
      </c>
    </row>
    <row r="179" spans="1:6" x14ac:dyDescent="0.3">
      <c r="A179" t="s">
        <v>19</v>
      </c>
      <c r="B179" t="s">
        <v>316</v>
      </c>
      <c r="C179" t="s">
        <v>312</v>
      </c>
      <c r="D179" t="s">
        <v>61</v>
      </c>
      <c r="E179" t="s">
        <v>383</v>
      </c>
      <c r="F179" t="s">
        <v>384</v>
      </c>
    </row>
    <row r="180" spans="1:6" x14ac:dyDescent="0.3">
      <c r="A180" t="s">
        <v>19</v>
      </c>
      <c r="B180" t="s">
        <v>316</v>
      </c>
      <c r="C180" t="s">
        <v>312</v>
      </c>
      <c r="D180" t="s">
        <v>61</v>
      </c>
      <c r="E180" t="s">
        <v>383</v>
      </c>
      <c r="F180" t="s">
        <v>385</v>
      </c>
    </row>
    <row r="181" spans="1:6" x14ac:dyDescent="0.3">
      <c r="A181" t="s">
        <v>19</v>
      </c>
      <c r="B181" t="s">
        <v>316</v>
      </c>
      <c r="C181" t="s">
        <v>312</v>
      </c>
      <c r="D181" t="s">
        <v>61</v>
      </c>
      <c r="E181" t="s">
        <v>383</v>
      </c>
      <c r="F181" t="s">
        <v>386</v>
      </c>
    </row>
    <row r="182" spans="1:6" x14ac:dyDescent="0.3">
      <c r="A182" t="s">
        <v>19</v>
      </c>
      <c r="B182" t="s">
        <v>319</v>
      </c>
      <c r="C182" t="s">
        <v>312</v>
      </c>
      <c r="D182" t="s">
        <v>64</v>
      </c>
      <c r="E182" t="s">
        <v>383</v>
      </c>
      <c r="F182" t="s">
        <v>384</v>
      </c>
    </row>
    <row r="183" spans="1:6" x14ac:dyDescent="0.3">
      <c r="A183" t="s">
        <v>19</v>
      </c>
      <c r="B183" t="s">
        <v>319</v>
      </c>
      <c r="C183" t="s">
        <v>312</v>
      </c>
      <c r="D183" t="s">
        <v>64</v>
      </c>
      <c r="E183" t="s">
        <v>383</v>
      </c>
      <c r="F183" t="s">
        <v>385</v>
      </c>
    </row>
    <row r="184" spans="1:6" x14ac:dyDescent="0.3">
      <c r="A184" t="s">
        <v>19</v>
      </c>
      <c r="B184" t="s">
        <v>319</v>
      </c>
      <c r="C184" t="s">
        <v>312</v>
      </c>
      <c r="D184" t="s">
        <v>64</v>
      </c>
      <c r="E184" t="s">
        <v>383</v>
      </c>
      <c r="F184" t="s">
        <v>386</v>
      </c>
    </row>
    <row r="185" spans="1:6" x14ac:dyDescent="0.3">
      <c r="A185" t="s">
        <v>19</v>
      </c>
      <c r="B185" t="s">
        <v>321</v>
      </c>
      <c r="C185" t="s">
        <v>312</v>
      </c>
      <c r="D185" t="s">
        <v>35</v>
      </c>
      <c r="E185" t="s">
        <v>383</v>
      </c>
      <c r="F185" t="s">
        <v>384</v>
      </c>
    </row>
    <row r="186" spans="1:6" x14ac:dyDescent="0.3">
      <c r="A186" t="s">
        <v>19</v>
      </c>
      <c r="B186" t="s">
        <v>321</v>
      </c>
      <c r="C186" t="s">
        <v>312</v>
      </c>
      <c r="D186" t="s">
        <v>35</v>
      </c>
      <c r="E186" t="s">
        <v>383</v>
      </c>
      <c r="F186" t="s">
        <v>385</v>
      </c>
    </row>
    <row r="187" spans="1:6" x14ac:dyDescent="0.3">
      <c r="A187" t="s">
        <v>19</v>
      </c>
      <c r="B187" t="s">
        <v>321</v>
      </c>
      <c r="C187" t="s">
        <v>312</v>
      </c>
      <c r="D187" t="s">
        <v>35</v>
      </c>
      <c r="E187" t="s">
        <v>383</v>
      </c>
      <c r="F187" t="s">
        <v>386</v>
      </c>
    </row>
    <row r="188" spans="1:6" x14ac:dyDescent="0.3">
      <c r="A188" t="s">
        <v>19</v>
      </c>
      <c r="B188" t="s">
        <v>324</v>
      </c>
      <c r="C188" t="s">
        <v>312</v>
      </c>
      <c r="D188" t="s">
        <v>45</v>
      </c>
      <c r="E188" t="s">
        <v>383</v>
      </c>
      <c r="F188" t="s">
        <v>384</v>
      </c>
    </row>
    <row r="189" spans="1:6" x14ac:dyDescent="0.3">
      <c r="A189" t="s">
        <v>19</v>
      </c>
      <c r="B189" t="s">
        <v>324</v>
      </c>
      <c r="C189" t="s">
        <v>312</v>
      </c>
      <c r="D189" t="s">
        <v>45</v>
      </c>
      <c r="E189" t="s">
        <v>383</v>
      </c>
      <c r="F189" t="s">
        <v>385</v>
      </c>
    </row>
    <row r="190" spans="1:6" x14ac:dyDescent="0.3">
      <c r="A190" t="s">
        <v>19</v>
      </c>
      <c r="B190" t="s">
        <v>324</v>
      </c>
      <c r="C190" t="s">
        <v>312</v>
      </c>
      <c r="D190" t="s">
        <v>45</v>
      </c>
      <c r="E190" t="s">
        <v>383</v>
      </c>
      <c r="F190" t="s">
        <v>386</v>
      </c>
    </row>
    <row r="191" spans="1:6" x14ac:dyDescent="0.3">
      <c r="A191" t="s">
        <v>19</v>
      </c>
      <c r="B191" t="s">
        <v>327</v>
      </c>
      <c r="C191" t="s">
        <v>312</v>
      </c>
      <c r="D191" t="s">
        <v>31</v>
      </c>
      <c r="E191" t="s">
        <v>383</v>
      </c>
      <c r="F191" t="s">
        <v>384</v>
      </c>
    </row>
    <row r="192" spans="1:6" x14ac:dyDescent="0.3">
      <c r="A192" t="s">
        <v>19</v>
      </c>
      <c r="B192" t="s">
        <v>327</v>
      </c>
      <c r="C192" t="s">
        <v>312</v>
      </c>
      <c r="D192" t="s">
        <v>31</v>
      </c>
      <c r="E192" t="s">
        <v>383</v>
      </c>
      <c r="F192" t="s">
        <v>385</v>
      </c>
    </row>
    <row r="193" spans="1:6" x14ac:dyDescent="0.3">
      <c r="A193" t="s">
        <v>19</v>
      </c>
      <c r="B193" t="s">
        <v>327</v>
      </c>
      <c r="C193" t="s">
        <v>312</v>
      </c>
      <c r="D193" t="s">
        <v>31</v>
      </c>
      <c r="E193" t="s">
        <v>383</v>
      </c>
      <c r="F193" t="s">
        <v>386</v>
      </c>
    </row>
    <row r="194" spans="1:6" x14ac:dyDescent="0.3">
      <c r="A194" t="s">
        <v>19</v>
      </c>
      <c r="B194" t="s">
        <v>330</v>
      </c>
      <c r="C194" t="s">
        <v>312</v>
      </c>
      <c r="D194" t="s">
        <v>61</v>
      </c>
      <c r="E194" t="s">
        <v>383</v>
      </c>
      <c r="F194" t="s">
        <v>384</v>
      </c>
    </row>
    <row r="195" spans="1:6" x14ac:dyDescent="0.3">
      <c r="A195" t="s">
        <v>19</v>
      </c>
      <c r="B195" t="s">
        <v>330</v>
      </c>
      <c r="C195" t="s">
        <v>312</v>
      </c>
      <c r="D195" t="s">
        <v>61</v>
      </c>
      <c r="E195" t="s">
        <v>383</v>
      </c>
      <c r="F195" t="s">
        <v>385</v>
      </c>
    </row>
    <row r="196" spans="1:6" x14ac:dyDescent="0.3">
      <c r="A196" t="s">
        <v>19</v>
      </c>
      <c r="B196" t="s">
        <v>330</v>
      </c>
      <c r="C196" t="s">
        <v>312</v>
      </c>
      <c r="D196" t="s">
        <v>61</v>
      </c>
      <c r="E196" t="s">
        <v>383</v>
      </c>
      <c r="F196" t="s">
        <v>386</v>
      </c>
    </row>
    <row r="197" spans="1:6" x14ac:dyDescent="0.3">
      <c r="A197" t="s">
        <v>19</v>
      </c>
      <c r="B197" t="s">
        <v>333</v>
      </c>
      <c r="C197" t="s">
        <v>312</v>
      </c>
      <c r="D197" t="s">
        <v>64</v>
      </c>
      <c r="E197" t="s">
        <v>383</v>
      </c>
      <c r="F197" t="s">
        <v>384</v>
      </c>
    </row>
    <row r="198" spans="1:6" x14ac:dyDescent="0.3">
      <c r="A198" t="s">
        <v>19</v>
      </c>
      <c r="B198" t="s">
        <v>333</v>
      </c>
      <c r="C198" t="s">
        <v>312</v>
      </c>
      <c r="D198" t="s">
        <v>64</v>
      </c>
      <c r="E198" t="s">
        <v>383</v>
      </c>
      <c r="F198" t="s">
        <v>385</v>
      </c>
    </row>
    <row r="199" spans="1:6" x14ac:dyDescent="0.3">
      <c r="A199" t="s">
        <v>19</v>
      </c>
      <c r="B199" t="s">
        <v>333</v>
      </c>
      <c r="C199" t="s">
        <v>312</v>
      </c>
      <c r="D199" t="s">
        <v>64</v>
      </c>
      <c r="E199" t="s">
        <v>383</v>
      </c>
      <c r="F199" t="s">
        <v>386</v>
      </c>
    </row>
    <row r="200" spans="1:6" x14ac:dyDescent="0.3">
      <c r="A200" t="s">
        <v>19</v>
      </c>
      <c r="B200" t="s">
        <v>335</v>
      </c>
      <c r="C200" t="s">
        <v>312</v>
      </c>
      <c r="D200" t="s">
        <v>35</v>
      </c>
      <c r="E200" t="s">
        <v>383</v>
      </c>
      <c r="F200" t="s">
        <v>384</v>
      </c>
    </row>
    <row r="201" spans="1:6" x14ac:dyDescent="0.3">
      <c r="A201" t="s">
        <v>19</v>
      </c>
      <c r="B201" t="s">
        <v>335</v>
      </c>
      <c r="C201" t="s">
        <v>312</v>
      </c>
      <c r="D201" t="s">
        <v>35</v>
      </c>
      <c r="E201" t="s">
        <v>383</v>
      </c>
      <c r="F201" t="s">
        <v>385</v>
      </c>
    </row>
    <row r="202" spans="1:6" x14ac:dyDescent="0.3">
      <c r="A202" t="s">
        <v>19</v>
      </c>
      <c r="B202" t="s">
        <v>335</v>
      </c>
      <c r="C202" t="s">
        <v>312</v>
      </c>
      <c r="D202" t="s">
        <v>35</v>
      </c>
      <c r="E202" t="s">
        <v>383</v>
      </c>
      <c r="F202" t="s">
        <v>386</v>
      </c>
    </row>
    <row r="203" spans="1:6" x14ac:dyDescent="0.3">
      <c r="A203" t="s">
        <v>19</v>
      </c>
      <c r="B203" t="s">
        <v>338</v>
      </c>
      <c r="C203" t="s">
        <v>312</v>
      </c>
      <c r="D203" t="s">
        <v>45</v>
      </c>
      <c r="E203" t="s">
        <v>383</v>
      </c>
      <c r="F203" t="s">
        <v>384</v>
      </c>
    </row>
    <row r="204" spans="1:6" x14ac:dyDescent="0.3">
      <c r="A204" t="s">
        <v>19</v>
      </c>
      <c r="B204" t="s">
        <v>338</v>
      </c>
      <c r="C204" t="s">
        <v>312</v>
      </c>
      <c r="D204" t="s">
        <v>45</v>
      </c>
      <c r="E204" t="s">
        <v>383</v>
      </c>
      <c r="F204" t="s">
        <v>385</v>
      </c>
    </row>
    <row r="205" spans="1:6" x14ac:dyDescent="0.3">
      <c r="A205" t="s">
        <v>19</v>
      </c>
      <c r="B205" t="s">
        <v>338</v>
      </c>
      <c r="C205" t="s">
        <v>312</v>
      </c>
      <c r="D205" t="s">
        <v>45</v>
      </c>
      <c r="E205" t="s">
        <v>383</v>
      </c>
      <c r="F205" t="s">
        <v>386</v>
      </c>
    </row>
    <row r="206" spans="1:6" x14ac:dyDescent="0.3">
      <c r="A206" t="s">
        <v>19</v>
      </c>
      <c r="B206" t="s">
        <v>342</v>
      </c>
      <c r="C206" t="s">
        <v>312</v>
      </c>
      <c r="D206" t="s">
        <v>31</v>
      </c>
      <c r="E206" t="s">
        <v>383</v>
      </c>
      <c r="F206" t="s">
        <v>384</v>
      </c>
    </row>
    <row r="207" spans="1:6" x14ac:dyDescent="0.3">
      <c r="A207" t="s">
        <v>19</v>
      </c>
      <c r="B207" t="s">
        <v>342</v>
      </c>
      <c r="C207" t="s">
        <v>312</v>
      </c>
      <c r="D207" t="s">
        <v>31</v>
      </c>
      <c r="E207" t="s">
        <v>383</v>
      </c>
      <c r="F207" t="s">
        <v>385</v>
      </c>
    </row>
    <row r="208" spans="1:6" x14ac:dyDescent="0.3">
      <c r="A208" t="s">
        <v>19</v>
      </c>
      <c r="B208" t="s">
        <v>342</v>
      </c>
      <c r="C208" t="s">
        <v>312</v>
      </c>
      <c r="D208" t="s">
        <v>31</v>
      </c>
      <c r="E208" t="s">
        <v>383</v>
      </c>
      <c r="F208" t="s">
        <v>386</v>
      </c>
    </row>
    <row r="209" spans="1:6" x14ac:dyDescent="0.3">
      <c r="A209" t="s">
        <v>19</v>
      </c>
      <c r="B209" t="s">
        <v>345</v>
      </c>
      <c r="C209" t="s">
        <v>312</v>
      </c>
      <c r="D209" t="s">
        <v>61</v>
      </c>
      <c r="E209" t="s">
        <v>383</v>
      </c>
      <c r="F209" t="s">
        <v>384</v>
      </c>
    </row>
    <row r="210" spans="1:6" x14ac:dyDescent="0.3">
      <c r="A210" t="s">
        <v>19</v>
      </c>
      <c r="B210" t="s">
        <v>345</v>
      </c>
      <c r="C210" t="s">
        <v>312</v>
      </c>
      <c r="D210" t="s">
        <v>61</v>
      </c>
      <c r="E210" t="s">
        <v>383</v>
      </c>
      <c r="F210" t="s">
        <v>385</v>
      </c>
    </row>
    <row r="211" spans="1:6" x14ac:dyDescent="0.3">
      <c r="A211" t="s">
        <v>19</v>
      </c>
      <c r="B211" t="s">
        <v>345</v>
      </c>
      <c r="C211" t="s">
        <v>312</v>
      </c>
      <c r="D211" t="s">
        <v>61</v>
      </c>
      <c r="E211" t="s">
        <v>383</v>
      </c>
      <c r="F211" t="s">
        <v>386</v>
      </c>
    </row>
    <row r="212" spans="1:6" x14ac:dyDescent="0.3">
      <c r="A212" t="s">
        <v>19</v>
      </c>
      <c r="B212" t="s">
        <v>348</v>
      </c>
      <c r="C212" t="s">
        <v>312</v>
      </c>
      <c r="D212" t="s">
        <v>64</v>
      </c>
      <c r="E212" t="s">
        <v>383</v>
      </c>
      <c r="F212" t="s">
        <v>384</v>
      </c>
    </row>
    <row r="213" spans="1:6" x14ac:dyDescent="0.3">
      <c r="A213" t="s">
        <v>19</v>
      </c>
      <c r="B213" t="s">
        <v>348</v>
      </c>
      <c r="C213" t="s">
        <v>312</v>
      </c>
      <c r="D213" t="s">
        <v>64</v>
      </c>
      <c r="E213" t="s">
        <v>383</v>
      </c>
      <c r="F213" t="s">
        <v>385</v>
      </c>
    </row>
    <row r="214" spans="1:6" x14ac:dyDescent="0.3">
      <c r="A214" t="s">
        <v>19</v>
      </c>
      <c r="B214" t="s">
        <v>348</v>
      </c>
      <c r="C214" t="s">
        <v>312</v>
      </c>
      <c r="D214" t="s">
        <v>64</v>
      </c>
      <c r="E214" t="s">
        <v>383</v>
      </c>
      <c r="F214" t="s">
        <v>386</v>
      </c>
    </row>
    <row r="215" spans="1:6" x14ac:dyDescent="0.3">
      <c r="A215" t="s">
        <v>19</v>
      </c>
      <c r="B215" t="s">
        <v>350</v>
      </c>
      <c r="C215" t="s">
        <v>312</v>
      </c>
      <c r="D215" t="s">
        <v>35</v>
      </c>
      <c r="E215" t="s">
        <v>383</v>
      </c>
      <c r="F215" t="s">
        <v>384</v>
      </c>
    </row>
    <row r="216" spans="1:6" x14ac:dyDescent="0.3">
      <c r="A216" t="s">
        <v>19</v>
      </c>
      <c r="B216" t="s">
        <v>350</v>
      </c>
      <c r="C216" t="s">
        <v>312</v>
      </c>
      <c r="D216" t="s">
        <v>35</v>
      </c>
      <c r="E216" t="s">
        <v>383</v>
      </c>
      <c r="F216" t="s">
        <v>385</v>
      </c>
    </row>
    <row r="217" spans="1:6" x14ac:dyDescent="0.3">
      <c r="A217" t="s">
        <v>19</v>
      </c>
      <c r="B217" t="s">
        <v>350</v>
      </c>
      <c r="C217" t="s">
        <v>312</v>
      </c>
      <c r="D217" t="s">
        <v>35</v>
      </c>
      <c r="E217" t="s">
        <v>383</v>
      </c>
      <c r="F217" t="s">
        <v>386</v>
      </c>
    </row>
    <row r="218" spans="1:6" x14ac:dyDescent="0.3">
      <c r="A218" t="s">
        <v>19</v>
      </c>
      <c r="B218" t="s">
        <v>353</v>
      </c>
      <c r="C218" t="s">
        <v>312</v>
      </c>
      <c r="D218" t="s">
        <v>45</v>
      </c>
      <c r="E218" t="s">
        <v>383</v>
      </c>
      <c r="F218" t="s">
        <v>384</v>
      </c>
    </row>
    <row r="219" spans="1:6" x14ac:dyDescent="0.3">
      <c r="A219" t="s">
        <v>19</v>
      </c>
      <c r="B219" t="s">
        <v>353</v>
      </c>
      <c r="C219" t="s">
        <v>312</v>
      </c>
      <c r="D219" t="s">
        <v>45</v>
      </c>
      <c r="E219" t="s">
        <v>383</v>
      </c>
      <c r="F219" t="s">
        <v>385</v>
      </c>
    </row>
    <row r="220" spans="1:6" x14ac:dyDescent="0.3">
      <c r="A220" t="s">
        <v>19</v>
      </c>
      <c r="B220" t="s">
        <v>353</v>
      </c>
      <c r="C220" t="s">
        <v>312</v>
      </c>
      <c r="D220" t="s">
        <v>45</v>
      </c>
      <c r="E220" t="s">
        <v>383</v>
      </c>
      <c r="F220" t="s">
        <v>386</v>
      </c>
    </row>
    <row r="221" spans="1:6" x14ac:dyDescent="0.3">
      <c r="A221" t="s">
        <v>19</v>
      </c>
      <c r="B221" t="s">
        <v>356</v>
      </c>
      <c r="C221" t="s">
        <v>312</v>
      </c>
      <c r="D221" t="s">
        <v>31</v>
      </c>
      <c r="E221" t="s">
        <v>383</v>
      </c>
      <c r="F221" t="s">
        <v>384</v>
      </c>
    </row>
    <row r="222" spans="1:6" x14ac:dyDescent="0.3">
      <c r="A222" t="s">
        <v>19</v>
      </c>
      <c r="B222" t="s">
        <v>356</v>
      </c>
      <c r="C222" t="s">
        <v>312</v>
      </c>
      <c r="D222" t="s">
        <v>31</v>
      </c>
      <c r="E222" t="s">
        <v>383</v>
      </c>
      <c r="F222" t="s">
        <v>385</v>
      </c>
    </row>
    <row r="223" spans="1:6" x14ac:dyDescent="0.3">
      <c r="A223" t="s">
        <v>19</v>
      </c>
      <c r="B223" t="s">
        <v>356</v>
      </c>
      <c r="C223" t="s">
        <v>312</v>
      </c>
      <c r="D223" t="s">
        <v>31</v>
      </c>
      <c r="E223" t="s">
        <v>383</v>
      </c>
      <c r="F223" t="s">
        <v>386</v>
      </c>
    </row>
    <row r="224" spans="1:6" x14ac:dyDescent="0.3">
      <c r="A224" t="s">
        <v>19</v>
      </c>
      <c r="B224" t="s">
        <v>359</v>
      </c>
      <c r="C224" t="s">
        <v>312</v>
      </c>
      <c r="D224" t="s">
        <v>61</v>
      </c>
      <c r="E224" t="s">
        <v>383</v>
      </c>
      <c r="F224" t="s">
        <v>384</v>
      </c>
    </row>
    <row r="225" spans="1:9" x14ac:dyDescent="0.3">
      <c r="A225" t="s">
        <v>19</v>
      </c>
      <c r="B225" t="s">
        <v>359</v>
      </c>
      <c r="C225" t="s">
        <v>312</v>
      </c>
      <c r="D225" t="s">
        <v>61</v>
      </c>
      <c r="E225" t="s">
        <v>383</v>
      </c>
      <c r="F225" t="s">
        <v>385</v>
      </c>
    </row>
    <row r="226" spans="1:9" x14ac:dyDescent="0.3">
      <c r="A226" t="s">
        <v>19</v>
      </c>
      <c r="B226" t="s">
        <v>359</v>
      </c>
      <c r="C226" t="s">
        <v>312</v>
      </c>
      <c r="D226" t="s">
        <v>61</v>
      </c>
      <c r="E226" t="s">
        <v>383</v>
      </c>
      <c r="F226" t="s">
        <v>386</v>
      </c>
    </row>
    <row r="227" spans="1:9" x14ac:dyDescent="0.3">
      <c r="A227" t="s">
        <v>19</v>
      </c>
      <c r="B227" t="s">
        <v>362</v>
      </c>
      <c r="C227" t="s">
        <v>312</v>
      </c>
      <c r="D227" t="s">
        <v>64</v>
      </c>
      <c r="E227" t="s">
        <v>383</v>
      </c>
      <c r="F227" t="s">
        <v>384</v>
      </c>
    </row>
    <row r="228" spans="1:9" x14ac:dyDescent="0.3">
      <c r="A228" t="s">
        <v>19</v>
      </c>
      <c r="B228" t="s">
        <v>362</v>
      </c>
      <c r="C228" t="s">
        <v>312</v>
      </c>
      <c r="D228" t="s">
        <v>64</v>
      </c>
      <c r="E228" t="s">
        <v>383</v>
      </c>
      <c r="F228" t="s">
        <v>385</v>
      </c>
    </row>
    <row r="229" spans="1:9" x14ac:dyDescent="0.3">
      <c r="A229" t="s">
        <v>19</v>
      </c>
      <c r="B229" t="s">
        <v>362</v>
      </c>
      <c r="C229" t="s">
        <v>312</v>
      </c>
      <c r="D229" t="s">
        <v>64</v>
      </c>
      <c r="E229" t="s">
        <v>383</v>
      </c>
      <c r="F229" t="s">
        <v>386</v>
      </c>
    </row>
    <row r="230" spans="1:9" x14ac:dyDescent="0.3">
      <c r="A230" t="s">
        <v>19</v>
      </c>
      <c r="B230" t="s">
        <v>364</v>
      </c>
      <c r="C230" t="s">
        <v>312</v>
      </c>
      <c r="D230" t="s">
        <v>35</v>
      </c>
      <c r="E230" t="s">
        <v>383</v>
      </c>
      <c r="F230" t="s">
        <v>384</v>
      </c>
    </row>
    <row r="231" spans="1:9" x14ac:dyDescent="0.3">
      <c r="A231" t="s">
        <v>19</v>
      </c>
      <c r="B231" t="s">
        <v>364</v>
      </c>
      <c r="C231" t="s">
        <v>312</v>
      </c>
      <c r="D231" t="s">
        <v>35</v>
      </c>
      <c r="E231" t="s">
        <v>383</v>
      </c>
      <c r="F231" t="s">
        <v>385</v>
      </c>
    </row>
    <row r="232" spans="1:9" x14ac:dyDescent="0.3">
      <c r="A232" t="s">
        <v>19</v>
      </c>
      <c r="B232" t="s">
        <v>364</v>
      </c>
      <c r="C232" t="s">
        <v>312</v>
      </c>
      <c r="D232" t="s">
        <v>35</v>
      </c>
      <c r="E232" t="s">
        <v>383</v>
      </c>
      <c r="F232" t="s">
        <v>386</v>
      </c>
    </row>
    <row r="233" spans="1:9" x14ac:dyDescent="0.3">
      <c r="A233" t="s">
        <v>19</v>
      </c>
      <c r="B233" t="s">
        <v>20</v>
      </c>
      <c r="C233" t="s">
        <v>24</v>
      </c>
      <c r="D233" t="s">
        <v>25</v>
      </c>
      <c r="E233" t="s">
        <v>387</v>
      </c>
      <c r="F233" t="s">
        <v>384</v>
      </c>
      <c r="G233">
        <v>786540.8</v>
      </c>
    </row>
    <row r="234" spans="1:9" x14ac:dyDescent="0.3">
      <c r="A234" t="s">
        <v>19</v>
      </c>
      <c r="B234" t="s">
        <v>20</v>
      </c>
      <c r="C234" t="s">
        <v>24</v>
      </c>
      <c r="D234" t="s">
        <v>25</v>
      </c>
      <c r="E234" t="s">
        <v>387</v>
      </c>
      <c r="F234" t="s">
        <v>385</v>
      </c>
      <c r="G234">
        <v>786540.8</v>
      </c>
    </row>
    <row r="235" spans="1:9" x14ac:dyDescent="0.3">
      <c r="A235" t="s">
        <v>19</v>
      </c>
      <c r="B235" t="s">
        <v>20</v>
      </c>
      <c r="C235" t="s">
        <v>24</v>
      </c>
      <c r="D235" t="s">
        <v>25</v>
      </c>
      <c r="E235" t="s">
        <v>387</v>
      </c>
      <c r="F235" t="s">
        <v>386</v>
      </c>
    </row>
    <row r="236" spans="1:9" x14ac:dyDescent="0.3">
      <c r="A236" t="s">
        <v>19</v>
      </c>
      <c r="B236" t="s">
        <v>29</v>
      </c>
      <c r="C236" t="s">
        <v>24</v>
      </c>
      <c r="D236" t="s">
        <v>31</v>
      </c>
      <c r="E236" t="s">
        <v>387</v>
      </c>
      <c r="F236" t="s">
        <v>384</v>
      </c>
      <c r="G236">
        <v>674177.83</v>
      </c>
      <c r="H236">
        <v>112362.97</v>
      </c>
    </row>
    <row r="237" spans="1:9" x14ac:dyDescent="0.3">
      <c r="A237" t="s">
        <v>19</v>
      </c>
      <c r="B237" t="s">
        <v>29</v>
      </c>
      <c r="C237" t="s">
        <v>24</v>
      </c>
      <c r="D237" t="s">
        <v>31</v>
      </c>
      <c r="E237" t="s">
        <v>387</v>
      </c>
      <c r="F237" t="s">
        <v>385</v>
      </c>
      <c r="G237">
        <v>674177.83</v>
      </c>
      <c r="H237">
        <v>112362.97</v>
      </c>
    </row>
    <row r="238" spans="1:9" x14ac:dyDescent="0.3">
      <c r="A238" t="s">
        <v>19</v>
      </c>
      <c r="B238" t="s">
        <v>29</v>
      </c>
      <c r="C238" t="s">
        <v>24</v>
      </c>
      <c r="D238" t="s">
        <v>31</v>
      </c>
      <c r="E238" t="s">
        <v>387</v>
      </c>
      <c r="F238" t="s">
        <v>386</v>
      </c>
    </row>
    <row r="239" spans="1:9" x14ac:dyDescent="0.3">
      <c r="A239" t="s">
        <v>19</v>
      </c>
      <c r="B239" t="s">
        <v>33</v>
      </c>
      <c r="C239" t="s">
        <v>24</v>
      </c>
      <c r="D239" t="s">
        <v>35</v>
      </c>
      <c r="E239" t="s">
        <v>387</v>
      </c>
      <c r="F239" t="s">
        <v>384</v>
      </c>
      <c r="H239">
        <v>471924.47999999998</v>
      </c>
      <c r="I239">
        <v>314616.32000000001</v>
      </c>
    </row>
    <row r="240" spans="1:9" x14ac:dyDescent="0.3">
      <c r="A240" t="s">
        <v>19</v>
      </c>
      <c r="B240" t="s">
        <v>33</v>
      </c>
      <c r="C240" t="s">
        <v>24</v>
      </c>
      <c r="D240" t="s">
        <v>35</v>
      </c>
      <c r="E240" t="s">
        <v>387</v>
      </c>
      <c r="F240" t="s">
        <v>385</v>
      </c>
      <c r="H240">
        <v>471924.47999999998</v>
      </c>
      <c r="I240">
        <v>314616.32000000001</v>
      </c>
    </row>
    <row r="241" spans="1:10" x14ac:dyDescent="0.3">
      <c r="A241" t="s">
        <v>19</v>
      </c>
      <c r="B241" t="s">
        <v>33</v>
      </c>
      <c r="C241" t="s">
        <v>24</v>
      </c>
      <c r="D241" t="s">
        <v>35</v>
      </c>
      <c r="E241" t="s">
        <v>387</v>
      </c>
      <c r="F241" t="s">
        <v>386</v>
      </c>
    </row>
    <row r="242" spans="1:10" x14ac:dyDescent="0.3">
      <c r="A242" t="s">
        <v>19</v>
      </c>
      <c r="B242" t="s">
        <v>37</v>
      </c>
      <c r="C242" t="s">
        <v>24</v>
      </c>
      <c r="D242" t="s">
        <v>40</v>
      </c>
      <c r="E242" t="s">
        <v>387</v>
      </c>
      <c r="F242" t="s">
        <v>384</v>
      </c>
      <c r="G242">
        <v>786540.8</v>
      </c>
    </row>
    <row r="243" spans="1:10" x14ac:dyDescent="0.3">
      <c r="A243" t="s">
        <v>19</v>
      </c>
      <c r="B243" t="s">
        <v>37</v>
      </c>
      <c r="C243" t="s">
        <v>24</v>
      </c>
      <c r="D243" t="s">
        <v>40</v>
      </c>
      <c r="E243" t="s">
        <v>387</v>
      </c>
      <c r="F243" t="s">
        <v>385</v>
      </c>
      <c r="G243">
        <v>786540.8</v>
      </c>
    </row>
    <row r="244" spans="1:10" x14ac:dyDescent="0.3">
      <c r="A244" t="s">
        <v>19</v>
      </c>
      <c r="B244" t="s">
        <v>37</v>
      </c>
      <c r="C244" t="s">
        <v>24</v>
      </c>
      <c r="D244" t="s">
        <v>40</v>
      </c>
      <c r="E244" t="s">
        <v>387</v>
      </c>
      <c r="F244" t="s">
        <v>386</v>
      </c>
    </row>
    <row r="245" spans="1:10" x14ac:dyDescent="0.3">
      <c r="A245" t="s">
        <v>19</v>
      </c>
      <c r="B245" t="s">
        <v>42</v>
      </c>
      <c r="C245" t="s">
        <v>24</v>
      </c>
      <c r="D245" t="s">
        <v>45</v>
      </c>
      <c r="E245" t="s">
        <v>387</v>
      </c>
      <c r="F245" t="s">
        <v>384</v>
      </c>
      <c r="G245">
        <v>674177.83</v>
      </c>
      <c r="H245">
        <v>112362.97</v>
      </c>
    </row>
    <row r="246" spans="1:10" x14ac:dyDescent="0.3">
      <c r="A246" t="s">
        <v>19</v>
      </c>
      <c r="B246" t="s">
        <v>42</v>
      </c>
      <c r="C246" t="s">
        <v>24</v>
      </c>
      <c r="D246" t="s">
        <v>45</v>
      </c>
      <c r="E246" t="s">
        <v>387</v>
      </c>
      <c r="F246" t="s">
        <v>385</v>
      </c>
      <c r="G246">
        <v>674177.83</v>
      </c>
      <c r="H246">
        <v>112362.97</v>
      </c>
    </row>
    <row r="247" spans="1:10" x14ac:dyDescent="0.3">
      <c r="A247" t="s">
        <v>19</v>
      </c>
      <c r="B247" t="s">
        <v>42</v>
      </c>
      <c r="C247" t="s">
        <v>24</v>
      </c>
      <c r="D247" t="s">
        <v>45</v>
      </c>
      <c r="E247" t="s">
        <v>387</v>
      </c>
      <c r="F247" t="s">
        <v>386</v>
      </c>
    </row>
    <row r="248" spans="1:10" x14ac:dyDescent="0.3">
      <c r="A248" t="s">
        <v>19</v>
      </c>
      <c r="B248" t="s">
        <v>46</v>
      </c>
      <c r="C248" t="s">
        <v>24</v>
      </c>
      <c r="D248" t="s">
        <v>31</v>
      </c>
      <c r="E248" t="s">
        <v>387</v>
      </c>
      <c r="F248" t="s">
        <v>384</v>
      </c>
      <c r="H248">
        <v>589905.6</v>
      </c>
      <c r="I248">
        <v>196635.2</v>
      </c>
    </row>
    <row r="249" spans="1:10" x14ac:dyDescent="0.3">
      <c r="A249" t="s">
        <v>19</v>
      </c>
      <c r="B249" t="s">
        <v>46</v>
      </c>
      <c r="C249" t="s">
        <v>24</v>
      </c>
      <c r="D249" t="s">
        <v>31</v>
      </c>
      <c r="E249" t="s">
        <v>387</v>
      </c>
      <c r="F249" t="s">
        <v>385</v>
      </c>
      <c r="H249">
        <v>589905.6</v>
      </c>
      <c r="I249">
        <v>196635.2</v>
      </c>
    </row>
    <row r="250" spans="1:10" x14ac:dyDescent="0.3">
      <c r="A250" t="s">
        <v>19</v>
      </c>
      <c r="B250" t="s">
        <v>46</v>
      </c>
      <c r="C250" t="s">
        <v>24</v>
      </c>
      <c r="D250" t="s">
        <v>31</v>
      </c>
      <c r="E250" t="s">
        <v>387</v>
      </c>
      <c r="F250" t="s">
        <v>386</v>
      </c>
    </row>
    <row r="251" spans="1:10" x14ac:dyDescent="0.3">
      <c r="A251" t="s">
        <v>19</v>
      </c>
      <c r="B251" t="s">
        <v>50</v>
      </c>
      <c r="C251" t="s">
        <v>24</v>
      </c>
      <c r="D251" t="s">
        <v>40</v>
      </c>
      <c r="E251" t="s">
        <v>387</v>
      </c>
      <c r="F251" t="s">
        <v>384</v>
      </c>
      <c r="G251">
        <v>131090.13</v>
      </c>
      <c r="H251">
        <v>655450.67000000004</v>
      </c>
    </row>
    <row r="252" spans="1:10" x14ac:dyDescent="0.3">
      <c r="A252" t="s">
        <v>19</v>
      </c>
      <c r="B252" t="s">
        <v>50</v>
      </c>
      <c r="C252" t="s">
        <v>24</v>
      </c>
      <c r="D252" t="s">
        <v>40</v>
      </c>
      <c r="E252" t="s">
        <v>387</v>
      </c>
      <c r="F252" t="s">
        <v>385</v>
      </c>
      <c r="G252">
        <v>131090.13</v>
      </c>
      <c r="H252">
        <v>655450.67000000004</v>
      </c>
    </row>
    <row r="253" spans="1:10" x14ac:dyDescent="0.3">
      <c r="A253" t="s">
        <v>19</v>
      </c>
      <c r="B253" t="s">
        <v>50</v>
      </c>
      <c r="C253" t="s">
        <v>24</v>
      </c>
      <c r="D253" t="s">
        <v>40</v>
      </c>
      <c r="E253" t="s">
        <v>387</v>
      </c>
      <c r="F253" t="s">
        <v>386</v>
      </c>
    </row>
    <row r="254" spans="1:10" x14ac:dyDescent="0.3">
      <c r="A254" t="s">
        <v>19</v>
      </c>
      <c r="B254" t="s">
        <v>53</v>
      </c>
      <c r="C254" t="s">
        <v>24</v>
      </c>
      <c r="D254" t="s">
        <v>40</v>
      </c>
      <c r="E254" t="s">
        <v>387</v>
      </c>
      <c r="F254" t="s">
        <v>384</v>
      </c>
      <c r="I254">
        <v>561814.86</v>
      </c>
      <c r="J254">
        <v>224725.94</v>
      </c>
    </row>
    <row r="255" spans="1:10" x14ac:dyDescent="0.3">
      <c r="A255" t="s">
        <v>19</v>
      </c>
      <c r="B255" t="s">
        <v>53</v>
      </c>
      <c r="C255" t="s">
        <v>24</v>
      </c>
      <c r="D255" t="s">
        <v>40</v>
      </c>
      <c r="E255" t="s">
        <v>387</v>
      </c>
      <c r="F255" t="s">
        <v>385</v>
      </c>
      <c r="I255">
        <v>561814.86</v>
      </c>
      <c r="J255">
        <v>224725.94</v>
      </c>
    </row>
    <row r="256" spans="1:10" x14ac:dyDescent="0.3">
      <c r="A256" t="s">
        <v>19</v>
      </c>
      <c r="B256" t="s">
        <v>53</v>
      </c>
      <c r="C256" t="s">
        <v>24</v>
      </c>
      <c r="D256" t="s">
        <v>40</v>
      </c>
      <c r="E256" t="s">
        <v>387</v>
      </c>
      <c r="F256" t="s">
        <v>386</v>
      </c>
    </row>
    <row r="257" spans="1:11" x14ac:dyDescent="0.3">
      <c r="A257" t="s">
        <v>19</v>
      </c>
      <c r="B257" t="s">
        <v>55</v>
      </c>
      <c r="C257" t="s">
        <v>24</v>
      </c>
      <c r="D257" t="s">
        <v>40</v>
      </c>
      <c r="E257" t="s">
        <v>387</v>
      </c>
      <c r="F257" t="s">
        <v>384</v>
      </c>
      <c r="J257">
        <v>327725.33</v>
      </c>
      <c r="K257">
        <v>458815.47</v>
      </c>
    </row>
    <row r="258" spans="1:11" x14ac:dyDescent="0.3">
      <c r="A258" t="s">
        <v>19</v>
      </c>
      <c r="B258" t="s">
        <v>55</v>
      </c>
      <c r="C258" t="s">
        <v>24</v>
      </c>
      <c r="D258" t="s">
        <v>40</v>
      </c>
      <c r="E258" t="s">
        <v>387</v>
      </c>
      <c r="F258" t="s">
        <v>385</v>
      </c>
      <c r="J258">
        <v>327725.33</v>
      </c>
      <c r="K258">
        <v>458815.47</v>
      </c>
    </row>
    <row r="259" spans="1:11" x14ac:dyDescent="0.3">
      <c r="A259" t="s">
        <v>19</v>
      </c>
      <c r="B259" t="s">
        <v>55</v>
      </c>
      <c r="C259" t="s">
        <v>24</v>
      </c>
      <c r="D259" t="s">
        <v>40</v>
      </c>
      <c r="E259" t="s">
        <v>387</v>
      </c>
      <c r="F259" t="s">
        <v>386</v>
      </c>
    </row>
    <row r="260" spans="1:11" x14ac:dyDescent="0.3">
      <c r="A260" t="s">
        <v>19</v>
      </c>
      <c r="B260" t="s">
        <v>58</v>
      </c>
      <c r="C260" t="s">
        <v>24</v>
      </c>
      <c r="D260" t="s">
        <v>61</v>
      </c>
      <c r="E260" t="s">
        <v>387</v>
      </c>
      <c r="F260" t="s">
        <v>384</v>
      </c>
      <c r="H260">
        <v>314616.32000000001</v>
      </c>
      <c r="I260">
        <v>471924.47999999998</v>
      </c>
    </row>
    <row r="261" spans="1:11" x14ac:dyDescent="0.3">
      <c r="A261" t="s">
        <v>19</v>
      </c>
      <c r="B261" t="s">
        <v>58</v>
      </c>
      <c r="C261" t="s">
        <v>24</v>
      </c>
      <c r="D261" t="s">
        <v>61</v>
      </c>
      <c r="E261" t="s">
        <v>387</v>
      </c>
      <c r="F261" t="s">
        <v>385</v>
      </c>
      <c r="H261">
        <v>314616.32000000001</v>
      </c>
      <c r="I261">
        <v>471924.47999999998</v>
      </c>
    </row>
    <row r="262" spans="1:11" x14ac:dyDescent="0.3">
      <c r="A262" t="s">
        <v>19</v>
      </c>
      <c r="B262" t="s">
        <v>58</v>
      </c>
      <c r="C262" t="s">
        <v>24</v>
      </c>
      <c r="D262" t="s">
        <v>61</v>
      </c>
      <c r="E262" t="s">
        <v>387</v>
      </c>
      <c r="F262" t="s">
        <v>386</v>
      </c>
    </row>
    <row r="263" spans="1:11" x14ac:dyDescent="0.3">
      <c r="A263" t="s">
        <v>19</v>
      </c>
      <c r="B263" t="s">
        <v>62</v>
      </c>
      <c r="C263" t="s">
        <v>24</v>
      </c>
      <c r="D263" t="s">
        <v>64</v>
      </c>
      <c r="E263" t="s">
        <v>387</v>
      </c>
      <c r="F263" t="s">
        <v>384</v>
      </c>
      <c r="H263">
        <v>314616.32000000001</v>
      </c>
      <c r="I263">
        <v>471924.47999999998</v>
      </c>
    </row>
    <row r="264" spans="1:11" x14ac:dyDescent="0.3">
      <c r="A264" t="s">
        <v>19</v>
      </c>
      <c r="B264" t="s">
        <v>62</v>
      </c>
      <c r="C264" t="s">
        <v>24</v>
      </c>
      <c r="D264" t="s">
        <v>64</v>
      </c>
      <c r="E264" t="s">
        <v>387</v>
      </c>
      <c r="F264" t="s">
        <v>385</v>
      </c>
      <c r="H264">
        <v>314616.32000000001</v>
      </c>
      <c r="I264">
        <v>471924.47999999998</v>
      </c>
    </row>
    <row r="265" spans="1:11" x14ac:dyDescent="0.3">
      <c r="A265" t="s">
        <v>19</v>
      </c>
      <c r="B265" t="s">
        <v>62</v>
      </c>
      <c r="C265" t="s">
        <v>24</v>
      </c>
      <c r="D265" t="s">
        <v>64</v>
      </c>
      <c r="E265" t="s">
        <v>387</v>
      </c>
      <c r="F265" t="s">
        <v>386</v>
      </c>
    </row>
    <row r="266" spans="1:11" x14ac:dyDescent="0.3">
      <c r="A266" t="s">
        <v>19</v>
      </c>
      <c r="B266" t="s">
        <v>65</v>
      </c>
      <c r="C266" t="s">
        <v>24</v>
      </c>
      <c r="D266" t="s">
        <v>40</v>
      </c>
      <c r="E266" t="s">
        <v>387</v>
      </c>
      <c r="F266" t="s">
        <v>384</v>
      </c>
      <c r="G266">
        <v>157308.16</v>
      </c>
      <c r="H266">
        <v>629232.64000000001</v>
      </c>
    </row>
    <row r="267" spans="1:11" x14ac:dyDescent="0.3">
      <c r="A267" t="s">
        <v>19</v>
      </c>
      <c r="B267" t="s">
        <v>65</v>
      </c>
      <c r="C267" t="s">
        <v>24</v>
      </c>
      <c r="D267" t="s">
        <v>40</v>
      </c>
      <c r="E267" t="s">
        <v>387</v>
      </c>
      <c r="F267" t="s">
        <v>385</v>
      </c>
      <c r="G267">
        <v>157308.16</v>
      </c>
      <c r="H267">
        <v>629232.64000000001</v>
      </c>
    </row>
    <row r="268" spans="1:11" x14ac:dyDescent="0.3">
      <c r="A268" t="s">
        <v>19</v>
      </c>
      <c r="B268" t="s">
        <v>65</v>
      </c>
      <c r="C268" t="s">
        <v>24</v>
      </c>
      <c r="D268" t="s">
        <v>40</v>
      </c>
      <c r="E268" t="s">
        <v>387</v>
      </c>
      <c r="F268" t="s">
        <v>386</v>
      </c>
    </row>
    <row r="269" spans="1:11" x14ac:dyDescent="0.3">
      <c r="A269" t="s">
        <v>19</v>
      </c>
      <c r="B269" t="s">
        <v>68</v>
      </c>
      <c r="C269" t="s">
        <v>24</v>
      </c>
      <c r="D269" t="s">
        <v>45</v>
      </c>
      <c r="E269" t="s">
        <v>387</v>
      </c>
      <c r="F269" t="s">
        <v>384</v>
      </c>
      <c r="H269">
        <v>674177.83</v>
      </c>
      <c r="I269">
        <v>112362.97</v>
      </c>
    </row>
    <row r="270" spans="1:11" x14ac:dyDescent="0.3">
      <c r="A270" t="s">
        <v>19</v>
      </c>
      <c r="B270" t="s">
        <v>68</v>
      </c>
      <c r="C270" t="s">
        <v>24</v>
      </c>
      <c r="D270" t="s">
        <v>45</v>
      </c>
      <c r="E270" t="s">
        <v>387</v>
      </c>
      <c r="F270" t="s">
        <v>385</v>
      </c>
      <c r="H270">
        <v>674177.83</v>
      </c>
      <c r="I270">
        <v>112362.97</v>
      </c>
    </row>
    <row r="271" spans="1:11" x14ac:dyDescent="0.3">
      <c r="A271" t="s">
        <v>19</v>
      </c>
      <c r="B271" t="s">
        <v>68</v>
      </c>
      <c r="C271" t="s">
        <v>24</v>
      </c>
      <c r="D271" t="s">
        <v>45</v>
      </c>
      <c r="E271" t="s">
        <v>387</v>
      </c>
      <c r="F271" t="s">
        <v>386</v>
      </c>
    </row>
    <row r="272" spans="1:11" x14ac:dyDescent="0.3">
      <c r="A272" t="s">
        <v>19</v>
      </c>
      <c r="B272" t="s">
        <v>71</v>
      </c>
      <c r="C272" t="s">
        <v>24</v>
      </c>
      <c r="D272" t="s">
        <v>31</v>
      </c>
      <c r="E272" t="s">
        <v>387</v>
      </c>
      <c r="F272" t="s">
        <v>384</v>
      </c>
      <c r="I272">
        <v>491588</v>
      </c>
      <c r="J272">
        <v>294952.8</v>
      </c>
    </row>
    <row r="273" spans="1:13" x14ac:dyDescent="0.3">
      <c r="A273" t="s">
        <v>19</v>
      </c>
      <c r="B273" t="s">
        <v>71</v>
      </c>
      <c r="C273" t="s">
        <v>24</v>
      </c>
      <c r="D273" t="s">
        <v>31</v>
      </c>
      <c r="E273" t="s">
        <v>387</v>
      </c>
      <c r="F273" t="s">
        <v>385</v>
      </c>
      <c r="I273">
        <v>491588</v>
      </c>
      <c r="J273">
        <v>294952.8</v>
      </c>
    </row>
    <row r="274" spans="1:13" x14ac:dyDescent="0.3">
      <c r="A274" t="s">
        <v>19</v>
      </c>
      <c r="B274" t="s">
        <v>71</v>
      </c>
      <c r="C274" t="s">
        <v>24</v>
      </c>
      <c r="D274" t="s">
        <v>31</v>
      </c>
      <c r="E274" t="s">
        <v>387</v>
      </c>
      <c r="F274" t="s">
        <v>386</v>
      </c>
    </row>
    <row r="275" spans="1:13" x14ac:dyDescent="0.3">
      <c r="A275" t="s">
        <v>19</v>
      </c>
      <c r="B275" t="s">
        <v>74</v>
      </c>
      <c r="C275" t="s">
        <v>24</v>
      </c>
      <c r="D275" t="s">
        <v>40</v>
      </c>
      <c r="E275" t="s">
        <v>387</v>
      </c>
      <c r="F275" t="s">
        <v>384</v>
      </c>
      <c r="H275">
        <v>262180.27</v>
      </c>
      <c r="I275">
        <v>524360.53</v>
      </c>
    </row>
    <row r="276" spans="1:13" x14ac:dyDescent="0.3">
      <c r="A276" t="s">
        <v>19</v>
      </c>
      <c r="B276" t="s">
        <v>74</v>
      </c>
      <c r="C276" t="s">
        <v>24</v>
      </c>
      <c r="D276" t="s">
        <v>40</v>
      </c>
      <c r="E276" t="s">
        <v>387</v>
      </c>
      <c r="F276" t="s">
        <v>385</v>
      </c>
      <c r="H276">
        <v>262180.27</v>
      </c>
      <c r="I276">
        <v>524360.53</v>
      </c>
    </row>
    <row r="277" spans="1:13" x14ac:dyDescent="0.3">
      <c r="A277" t="s">
        <v>19</v>
      </c>
      <c r="B277" t="s">
        <v>74</v>
      </c>
      <c r="C277" t="s">
        <v>24</v>
      </c>
      <c r="D277" t="s">
        <v>40</v>
      </c>
      <c r="E277" t="s">
        <v>387</v>
      </c>
      <c r="F277" t="s">
        <v>386</v>
      </c>
    </row>
    <row r="278" spans="1:13" x14ac:dyDescent="0.3">
      <c r="A278" t="s">
        <v>19</v>
      </c>
      <c r="B278" t="s">
        <v>76</v>
      </c>
      <c r="C278" t="s">
        <v>24</v>
      </c>
      <c r="D278" t="s">
        <v>40</v>
      </c>
      <c r="E278" t="s">
        <v>387</v>
      </c>
      <c r="F278" t="s">
        <v>384</v>
      </c>
      <c r="J278">
        <v>449451.89</v>
      </c>
      <c r="K278">
        <v>337088.91</v>
      </c>
    </row>
    <row r="279" spans="1:13" x14ac:dyDescent="0.3">
      <c r="A279" t="s">
        <v>19</v>
      </c>
      <c r="B279" t="s">
        <v>76</v>
      </c>
      <c r="C279" t="s">
        <v>24</v>
      </c>
      <c r="D279" t="s">
        <v>40</v>
      </c>
      <c r="E279" t="s">
        <v>387</v>
      </c>
      <c r="F279" t="s">
        <v>385</v>
      </c>
      <c r="J279">
        <v>449451.89</v>
      </c>
      <c r="K279">
        <v>337088.91</v>
      </c>
    </row>
    <row r="280" spans="1:13" x14ac:dyDescent="0.3">
      <c r="A280" t="s">
        <v>19</v>
      </c>
      <c r="B280" t="s">
        <v>76</v>
      </c>
      <c r="C280" t="s">
        <v>24</v>
      </c>
      <c r="D280" t="s">
        <v>40</v>
      </c>
      <c r="E280" t="s">
        <v>387</v>
      </c>
      <c r="F280" t="s">
        <v>386</v>
      </c>
    </row>
    <row r="281" spans="1:13" x14ac:dyDescent="0.3">
      <c r="A281" t="s">
        <v>19</v>
      </c>
      <c r="B281" t="s">
        <v>78</v>
      </c>
      <c r="C281" t="s">
        <v>24</v>
      </c>
      <c r="D281" t="s">
        <v>40</v>
      </c>
      <c r="E281" t="s">
        <v>387</v>
      </c>
      <c r="F281" t="s">
        <v>384</v>
      </c>
      <c r="K281">
        <v>262180.27</v>
      </c>
      <c r="L281">
        <v>458815.47</v>
      </c>
      <c r="M281">
        <v>65545.070000000007</v>
      </c>
    </row>
    <row r="282" spans="1:13" x14ac:dyDescent="0.3">
      <c r="A282" t="s">
        <v>19</v>
      </c>
      <c r="B282" t="s">
        <v>78</v>
      </c>
      <c r="C282" t="s">
        <v>24</v>
      </c>
      <c r="D282" t="s">
        <v>40</v>
      </c>
      <c r="E282" t="s">
        <v>387</v>
      </c>
      <c r="F282" t="s">
        <v>385</v>
      </c>
      <c r="K282">
        <v>262180.27</v>
      </c>
      <c r="L282">
        <v>458815.47</v>
      </c>
      <c r="M282">
        <v>65545.070000000007</v>
      </c>
    </row>
    <row r="283" spans="1:13" x14ac:dyDescent="0.3">
      <c r="A283" t="s">
        <v>19</v>
      </c>
      <c r="B283" t="s">
        <v>78</v>
      </c>
      <c r="C283" t="s">
        <v>24</v>
      </c>
      <c r="D283" t="s">
        <v>40</v>
      </c>
      <c r="E283" t="s">
        <v>387</v>
      </c>
      <c r="F283" t="s">
        <v>386</v>
      </c>
    </row>
    <row r="284" spans="1:13" x14ac:dyDescent="0.3">
      <c r="A284" t="s">
        <v>19</v>
      </c>
      <c r="B284" t="s">
        <v>80</v>
      </c>
      <c r="C284" t="s">
        <v>24</v>
      </c>
      <c r="D284" t="s">
        <v>61</v>
      </c>
      <c r="E284" t="s">
        <v>387</v>
      </c>
      <c r="F284" t="s">
        <v>384</v>
      </c>
      <c r="I284">
        <v>471924.47999999998</v>
      </c>
      <c r="J284">
        <v>314616.32000000001</v>
      </c>
    </row>
    <row r="285" spans="1:13" x14ac:dyDescent="0.3">
      <c r="A285" t="s">
        <v>19</v>
      </c>
      <c r="B285" t="s">
        <v>80</v>
      </c>
      <c r="C285" t="s">
        <v>24</v>
      </c>
      <c r="D285" t="s">
        <v>61</v>
      </c>
      <c r="E285" t="s">
        <v>387</v>
      </c>
      <c r="F285" t="s">
        <v>385</v>
      </c>
      <c r="I285">
        <v>471924.47999999998</v>
      </c>
      <c r="J285">
        <v>314616.32000000001</v>
      </c>
    </row>
    <row r="286" spans="1:13" x14ac:dyDescent="0.3">
      <c r="A286" t="s">
        <v>19</v>
      </c>
      <c r="B286" t="s">
        <v>80</v>
      </c>
      <c r="C286" t="s">
        <v>24</v>
      </c>
      <c r="D286" t="s">
        <v>61</v>
      </c>
      <c r="E286" t="s">
        <v>387</v>
      </c>
      <c r="F286" t="s">
        <v>386</v>
      </c>
    </row>
    <row r="287" spans="1:13" x14ac:dyDescent="0.3">
      <c r="A287" t="s">
        <v>19</v>
      </c>
      <c r="B287" t="s">
        <v>83</v>
      </c>
      <c r="C287" t="s">
        <v>24</v>
      </c>
      <c r="D287" t="s">
        <v>64</v>
      </c>
      <c r="E287" t="s">
        <v>387</v>
      </c>
      <c r="F287" t="s">
        <v>384</v>
      </c>
      <c r="I287">
        <v>471924.47999999998</v>
      </c>
      <c r="J287">
        <v>314616.32000000001</v>
      </c>
    </row>
    <row r="288" spans="1:13" x14ac:dyDescent="0.3">
      <c r="A288" t="s">
        <v>19</v>
      </c>
      <c r="B288" t="s">
        <v>83</v>
      </c>
      <c r="C288" t="s">
        <v>24</v>
      </c>
      <c r="D288" t="s">
        <v>64</v>
      </c>
      <c r="E288" t="s">
        <v>387</v>
      </c>
      <c r="F288" t="s">
        <v>385</v>
      </c>
      <c r="I288">
        <v>471924.47999999998</v>
      </c>
      <c r="J288">
        <v>314616.32000000001</v>
      </c>
    </row>
    <row r="289" spans="1:12" x14ac:dyDescent="0.3">
      <c r="A289" t="s">
        <v>19</v>
      </c>
      <c r="B289" t="s">
        <v>83</v>
      </c>
      <c r="C289" t="s">
        <v>24</v>
      </c>
      <c r="D289" t="s">
        <v>64</v>
      </c>
      <c r="E289" t="s">
        <v>387</v>
      </c>
      <c r="F289" t="s">
        <v>386</v>
      </c>
    </row>
    <row r="290" spans="1:12" x14ac:dyDescent="0.3">
      <c r="A290" t="s">
        <v>19</v>
      </c>
      <c r="B290" t="s">
        <v>85</v>
      </c>
      <c r="C290" t="s">
        <v>24</v>
      </c>
      <c r="D290" t="s">
        <v>40</v>
      </c>
      <c r="E290" t="s">
        <v>387</v>
      </c>
      <c r="F290" t="s">
        <v>384</v>
      </c>
      <c r="H290">
        <v>471924.47999999998</v>
      </c>
      <c r="I290">
        <v>314616.32000000001</v>
      </c>
    </row>
    <row r="291" spans="1:12" x14ac:dyDescent="0.3">
      <c r="A291" t="s">
        <v>19</v>
      </c>
      <c r="B291" t="s">
        <v>85</v>
      </c>
      <c r="C291" t="s">
        <v>24</v>
      </c>
      <c r="D291" t="s">
        <v>40</v>
      </c>
      <c r="E291" t="s">
        <v>387</v>
      </c>
      <c r="F291" t="s">
        <v>385</v>
      </c>
      <c r="H291">
        <v>471924.47999999998</v>
      </c>
      <c r="I291">
        <v>314616.32000000001</v>
      </c>
    </row>
    <row r="292" spans="1:12" x14ac:dyDescent="0.3">
      <c r="A292" t="s">
        <v>19</v>
      </c>
      <c r="B292" t="s">
        <v>85</v>
      </c>
      <c r="C292" t="s">
        <v>24</v>
      </c>
      <c r="D292" t="s">
        <v>40</v>
      </c>
      <c r="E292" t="s">
        <v>387</v>
      </c>
      <c r="F292" t="s">
        <v>386</v>
      </c>
    </row>
    <row r="293" spans="1:12" x14ac:dyDescent="0.3">
      <c r="A293" t="s">
        <v>19</v>
      </c>
      <c r="B293" t="s">
        <v>88</v>
      </c>
      <c r="C293" t="s">
        <v>24</v>
      </c>
      <c r="D293" t="s">
        <v>45</v>
      </c>
      <c r="E293" t="s">
        <v>387</v>
      </c>
      <c r="F293" t="s">
        <v>384</v>
      </c>
      <c r="I293">
        <v>674177.83</v>
      </c>
      <c r="J293">
        <v>112362.97</v>
      </c>
    </row>
    <row r="294" spans="1:12" x14ac:dyDescent="0.3">
      <c r="A294" t="s">
        <v>19</v>
      </c>
      <c r="B294" t="s">
        <v>88</v>
      </c>
      <c r="C294" t="s">
        <v>24</v>
      </c>
      <c r="D294" t="s">
        <v>45</v>
      </c>
      <c r="E294" t="s">
        <v>387</v>
      </c>
      <c r="F294" t="s">
        <v>385</v>
      </c>
      <c r="I294">
        <v>674177.83</v>
      </c>
      <c r="J294">
        <v>112362.97</v>
      </c>
    </row>
    <row r="295" spans="1:12" x14ac:dyDescent="0.3">
      <c r="A295" t="s">
        <v>19</v>
      </c>
      <c r="B295" t="s">
        <v>88</v>
      </c>
      <c r="C295" t="s">
        <v>24</v>
      </c>
      <c r="D295" t="s">
        <v>45</v>
      </c>
      <c r="E295" t="s">
        <v>387</v>
      </c>
      <c r="F295" t="s">
        <v>386</v>
      </c>
    </row>
    <row r="296" spans="1:12" x14ac:dyDescent="0.3">
      <c r="A296" t="s">
        <v>19</v>
      </c>
      <c r="B296" t="s">
        <v>91</v>
      </c>
      <c r="C296" t="s">
        <v>24</v>
      </c>
      <c r="D296" t="s">
        <v>31</v>
      </c>
      <c r="E296" t="s">
        <v>387</v>
      </c>
      <c r="F296" t="s">
        <v>384</v>
      </c>
      <c r="J296">
        <v>393270.4</v>
      </c>
      <c r="K296">
        <v>393270.4</v>
      </c>
    </row>
    <row r="297" spans="1:12" x14ac:dyDescent="0.3">
      <c r="A297" t="s">
        <v>19</v>
      </c>
      <c r="B297" t="s">
        <v>91</v>
      </c>
      <c r="C297" t="s">
        <v>24</v>
      </c>
      <c r="D297" t="s">
        <v>31</v>
      </c>
      <c r="E297" t="s">
        <v>387</v>
      </c>
      <c r="F297" t="s">
        <v>385</v>
      </c>
      <c r="J297">
        <v>393270.4</v>
      </c>
      <c r="K297">
        <v>393270.4</v>
      </c>
    </row>
    <row r="298" spans="1:12" x14ac:dyDescent="0.3">
      <c r="A298" t="s">
        <v>19</v>
      </c>
      <c r="B298" t="s">
        <v>91</v>
      </c>
      <c r="C298" t="s">
        <v>24</v>
      </c>
      <c r="D298" t="s">
        <v>31</v>
      </c>
      <c r="E298" t="s">
        <v>387</v>
      </c>
      <c r="F298" t="s">
        <v>386</v>
      </c>
    </row>
    <row r="299" spans="1:12" x14ac:dyDescent="0.3">
      <c r="A299" t="s">
        <v>19</v>
      </c>
      <c r="B299" t="s">
        <v>94</v>
      </c>
      <c r="C299" t="s">
        <v>24</v>
      </c>
      <c r="D299" t="s">
        <v>40</v>
      </c>
      <c r="E299" t="s">
        <v>387</v>
      </c>
      <c r="F299" t="s">
        <v>384</v>
      </c>
      <c r="I299">
        <v>393270.4</v>
      </c>
      <c r="J299">
        <v>393270.4</v>
      </c>
    </row>
    <row r="300" spans="1:12" x14ac:dyDescent="0.3">
      <c r="A300" t="s">
        <v>19</v>
      </c>
      <c r="B300" t="s">
        <v>94</v>
      </c>
      <c r="C300" t="s">
        <v>24</v>
      </c>
      <c r="D300" t="s">
        <v>40</v>
      </c>
      <c r="E300" t="s">
        <v>387</v>
      </c>
      <c r="F300" t="s">
        <v>385</v>
      </c>
      <c r="I300">
        <v>393270.4</v>
      </c>
      <c r="J300">
        <v>393270.4</v>
      </c>
    </row>
    <row r="301" spans="1:12" x14ac:dyDescent="0.3">
      <c r="A301" t="s">
        <v>19</v>
      </c>
      <c r="B301" t="s">
        <v>94</v>
      </c>
      <c r="C301" t="s">
        <v>24</v>
      </c>
      <c r="D301" t="s">
        <v>40</v>
      </c>
      <c r="E301" t="s">
        <v>387</v>
      </c>
      <c r="F301" t="s">
        <v>386</v>
      </c>
    </row>
    <row r="302" spans="1:12" x14ac:dyDescent="0.3">
      <c r="A302" t="s">
        <v>19</v>
      </c>
      <c r="B302" t="s">
        <v>96</v>
      </c>
      <c r="C302" t="s">
        <v>24</v>
      </c>
      <c r="D302" t="s">
        <v>40</v>
      </c>
      <c r="E302" t="s">
        <v>387</v>
      </c>
      <c r="F302" t="s">
        <v>384</v>
      </c>
      <c r="K302">
        <v>337088.91</v>
      </c>
      <c r="L302">
        <v>449451.89</v>
      </c>
    </row>
    <row r="303" spans="1:12" x14ac:dyDescent="0.3">
      <c r="A303" t="s">
        <v>19</v>
      </c>
      <c r="B303" t="s">
        <v>96</v>
      </c>
      <c r="C303" t="s">
        <v>24</v>
      </c>
      <c r="D303" t="s">
        <v>40</v>
      </c>
      <c r="E303" t="s">
        <v>387</v>
      </c>
      <c r="F303" t="s">
        <v>385</v>
      </c>
      <c r="K303">
        <v>337088.91</v>
      </c>
      <c r="L303">
        <v>449451.89</v>
      </c>
    </row>
    <row r="304" spans="1:12" x14ac:dyDescent="0.3">
      <c r="A304" t="s">
        <v>19</v>
      </c>
      <c r="B304" t="s">
        <v>96</v>
      </c>
      <c r="C304" t="s">
        <v>24</v>
      </c>
      <c r="D304" t="s">
        <v>40</v>
      </c>
      <c r="E304" t="s">
        <v>387</v>
      </c>
      <c r="F304" t="s">
        <v>386</v>
      </c>
    </row>
    <row r="305" spans="1:14" x14ac:dyDescent="0.3">
      <c r="A305" t="s">
        <v>19</v>
      </c>
      <c r="B305" t="s">
        <v>98</v>
      </c>
      <c r="C305" t="s">
        <v>24</v>
      </c>
      <c r="D305" t="s">
        <v>40</v>
      </c>
      <c r="E305" t="s">
        <v>387</v>
      </c>
      <c r="F305" t="s">
        <v>384</v>
      </c>
      <c r="L305">
        <v>196635.2</v>
      </c>
      <c r="M305">
        <v>458815.47</v>
      </c>
      <c r="N305">
        <v>131090.13</v>
      </c>
    </row>
    <row r="306" spans="1:14" x14ac:dyDescent="0.3">
      <c r="A306" t="s">
        <v>19</v>
      </c>
      <c r="B306" t="s">
        <v>98</v>
      </c>
      <c r="C306" t="s">
        <v>24</v>
      </c>
      <c r="D306" t="s">
        <v>40</v>
      </c>
      <c r="E306" t="s">
        <v>387</v>
      </c>
      <c r="F306" t="s">
        <v>385</v>
      </c>
      <c r="L306">
        <v>196635.2</v>
      </c>
      <c r="M306">
        <v>458815.47</v>
      </c>
      <c r="N306">
        <v>131090.13</v>
      </c>
    </row>
    <row r="307" spans="1:14" x14ac:dyDescent="0.3">
      <c r="A307" t="s">
        <v>19</v>
      </c>
      <c r="B307" t="s">
        <v>98</v>
      </c>
      <c r="C307" t="s">
        <v>24</v>
      </c>
      <c r="D307" t="s">
        <v>40</v>
      </c>
      <c r="E307" t="s">
        <v>387</v>
      </c>
      <c r="F307" t="s">
        <v>386</v>
      </c>
    </row>
    <row r="308" spans="1:14" x14ac:dyDescent="0.3">
      <c r="A308" t="s">
        <v>19</v>
      </c>
      <c r="B308" t="s">
        <v>100</v>
      </c>
      <c r="C308" t="s">
        <v>24</v>
      </c>
      <c r="D308" t="s">
        <v>61</v>
      </c>
      <c r="E308" t="s">
        <v>387</v>
      </c>
      <c r="F308" t="s">
        <v>384</v>
      </c>
      <c r="J308">
        <v>629232.64000000001</v>
      </c>
      <c r="K308">
        <v>157308.16</v>
      </c>
    </row>
    <row r="309" spans="1:14" x14ac:dyDescent="0.3">
      <c r="A309" t="s">
        <v>19</v>
      </c>
      <c r="B309" t="s">
        <v>100</v>
      </c>
      <c r="C309" t="s">
        <v>24</v>
      </c>
      <c r="D309" t="s">
        <v>61</v>
      </c>
      <c r="E309" t="s">
        <v>387</v>
      </c>
      <c r="F309" t="s">
        <v>385</v>
      </c>
      <c r="J309">
        <v>629232.64000000001</v>
      </c>
      <c r="K309">
        <v>157308.16</v>
      </c>
    </row>
    <row r="310" spans="1:14" x14ac:dyDescent="0.3">
      <c r="A310" t="s">
        <v>19</v>
      </c>
      <c r="B310" t="s">
        <v>100</v>
      </c>
      <c r="C310" t="s">
        <v>24</v>
      </c>
      <c r="D310" t="s">
        <v>61</v>
      </c>
      <c r="E310" t="s">
        <v>387</v>
      </c>
      <c r="F310" t="s">
        <v>386</v>
      </c>
    </row>
    <row r="311" spans="1:14" x14ac:dyDescent="0.3">
      <c r="A311" t="s">
        <v>19</v>
      </c>
      <c r="B311" t="s">
        <v>103</v>
      </c>
      <c r="C311" t="s">
        <v>24</v>
      </c>
      <c r="D311" t="s">
        <v>64</v>
      </c>
      <c r="E311" t="s">
        <v>387</v>
      </c>
      <c r="F311" t="s">
        <v>384</v>
      </c>
      <c r="J311">
        <v>629232.64000000001</v>
      </c>
      <c r="K311">
        <v>157308.16</v>
      </c>
    </row>
    <row r="312" spans="1:14" x14ac:dyDescent="0.3">
      <c r="A312" t="s">
        <v>19</v>
      </c>
      <c r="B312" t="s">
        <v>103</v>
      </c>
      <c r="C312" t="s">
        <v>24</v>
      </c>
      <c r="D312" t="s">
        <v>64</v>
      </c>
      <c r="E312" t="s">
        <v>387</v>
      </c>
      <c r="F312" t="s">
        <v>385</v>
      </c>
      <c r="J312">
        <v>629232.64000000001</v>
      </c>
      <c r="K312">
        <v>157308.16</v>
      </c>
    </row>
    <row r="313" spans="1:14" x14ac:dyDescent="0.3">
      <c r="A313" t="s">
        <v>19</v>
      </c>
      <c r="B313" t="s">
        <v>103</v>
      </c>
      <c r="C313" t="s">
        <v>24</v>
      </c>
      <c r="D313" t="s">
        <v>64</v>
      </c>
      <c r="E313" t="s">
        <v>387</v>
      </c>
      <c r="F313" t="s">
        <v>386</v>
      </c>
    </row>
    <row r="314" spans="1:14" x14ac:dyDescent="0.3">
      <c r="A314" t="s">
        <v>19</v>
      </c>
      <c r="B314" t="s">
        <v>105</v>
      </c>
      <c r="C314" t="s">
        <v>24</v>
      </c>
      <c r="D314" t="s">
        <v>40</v>
      </c>
      <c r="E314" t="s">
        <v>387</v>
      </c>
      <c r="F314" t="s">
        <v>384</v>
      </c>
      <c r="I314">
        <v>786540.8</v>
      </c>
    </row>
    <row r="315" spans="1:14" x14ac:dyDescent="0.3">
      <c r="A315" t="s">
        <v>19</v>
      </c>
      <c r="B315" t="s">
        <v>105</v>
      </c>
      <c r="C315" t="s">
        <v>24</v>
      </c>
      <c r="D315" t="s">
        <v>40</v>
      </c>
      <c r="E315" t="s">
        <v>387</v>
      </c>
      <c r="F315" t="s">
        <v>385</v>
      </c>
      <c r="I315">
        <v>786540.8</v>
      </c>
    </row>
    <row r="316" spans="1:14" x14ac:dyDescent="0.3">
      <c r="A316" t="s">
        <v>19</v>
      </c>
      <c r="B316" t="s">
        <v>105</v>
      </c>
      <c r="C316" t="s">
        <v>24</v>
      </c>
      <c r="D316" t="s">
        <v>40</v>
      </c>
      <c r="E316" t="s">
        <v>387</v>
      </c>
      <c r="F316" t="s">
        <v>386</v>
      </c>
    </row>
    <row r="317" spans="1:14" x14ac:dyDescent="0.3">
      <c r="A317" t="s">
        <v>19</v>
      </c>
      <c r="B317" t="s">
        <v>108</v>
      </c>
      <c r="C317" t="s">
        <v>24</v>
      </c>
      <c r="D317" t="s">
        <v>45</v>
      </c>
      <c r="E317" t="s">
        <v>387</v>
      </c>
      <c r="F317" t="s">
        <v>384</v>
      </c>
      <c r="J317">
        <v>674177.83</v>
      </c>
      <c r="K317">
        <v>112362.97</v>
      </c>
    </row>
    <row r="318" spans="1:14" x14ac:dyDescent="0.3">
      <c r="A318" t="s">
        <v>19</v>
      </c>
      <c r="B318" t="s">
        <v>108</v>
      </c>
      <c r="C318" t="s">
        <v>24</v>
      </c>
      <c r="D318" t="s">
        <v>45</v>
      </c>
      <c r="E318" t="s">
        <v>387</v>
      </c>
      <c r="F318" t="s">
        <v>385</v>
      </c>
      <c r="J318">
        <v>674177.83</v>
      </c>
      <c r="K318">
        <v>112362.97</v>
      </c>
    </row>
    <row r="319" spans="1:14" x14ac:dyDescent="0.3">
      <c r="A319" t="s">
        <v>19</v>
      </c>
      <c r="B319" t="s">
        <v>108</v>
      </c>
      <c r="C319" t="s">
        <v>24</v>
      </c>
      <c r="D319" t="s">
        <v>45</v>
      </c>
      <c r="E319" t="s">
        <v>387</v>
      </c>
      <c r="F319" t="s">
        <v>386</v>
      </c>
    </row>
    <row r="320" spans="1:14" x14ac:dyDescent="0.3">
      <c r="A320" t="s">
        <v>19</v>
      </c>
      <c r="B320" t="s">
        <v>111</v>
      </c>
      <c r="C320" t="s">
        <v>24</v>
      </c>
      <c r="D320" t="s">
        <v>31</v>
      </c>
      <c r="E320" t="s">
        <v>387</v>
      </c>
      <c r="F320" t="s">
        <v>384</v>
      </c>
      <c r="K320">
        <v>294952.8</v>
      </c>
      <c r="L320">
        <v>491588</v>
      </c>
    </row>
    <row r="321" spans="1:15" x14ac:dyDescent="0.3">
      <c r="A321" t="s">
        <v>19</v>
      </c>
      <c r="B321" t="s">
        <v>111</v>
      </c>
      <c r="C321" t="s">
        <v>24</v>
      </c>
      <c r="D321" t="s">
        <v>31</v>
      </c>
      <c r="E321" t="s">
        <v>387</v>
      </c>
      <c r="F321" t="s">
        <v>385</v>
      </c>
      <c r="K321">
        <v>294952.8</v>
      </c>
      <c r="L321">
        <v>491588</v>
      </c>
    </row>
    <row r="322" spans="1:15" x14ac:dyDescent="0.3">
      <c r="A322" t="s">
        <v>19</v>
      </c>
      <c r="B322" t="s">
        <v>111</v>
      </c>
      <c r="C322" t="s">
        <v>24</v>
      </c>
      <c r="D322" t="s">
        <v>31</v>
      </c>
      <c r="E322" t="s">
        <v>387</v>
      </c>
      <c r="F322" t="s">
        <v>386</v>
      </c>
    </row>
    <row r="323" spans="1:15" x14ac:dyDescent="0.3">
      <c r="A323" t="s">
        <v>19</v>
      </c>
      <c r="B323" t="s">
        <v>114</v>
      </c>
      <c r="C323" t="s">
        <v>24</v>
      </c>
      <c r="D323" t="s">
        <v>40</v>
      </c>
      <c r="E323" t="s">
        <v>387</v>
      </c>
      <c r="F323" t="s">
        <v>384</v>
      </c>
      <c r="J323">
        <v>524360.53</v>
      </c>
      <c r="K323">
        <v>262180.27</v>
      </c>
    </row>
    <row r="324" spans="1:15" x14ac:dyDescent="0.3">
      <c r="A324" t="s">
        <v>19</v>
      </c>
      <c r="B324" t="s">
        <v>114</v>
      </c>
      <c r="C324" t="s">
        <v>24</v>
      </c>
      <c r="D324" t="s">
        <v>40</v>
      </c>
      <c r="E324" t="s">
        <v>387</v>
      </c>
      <c r="F324" t="s">
        <v>385</v>
      </c>
      <c r="J324">
        <v>524360.53</v>
      </c>
      <c r="K324">
        <v>262180.27</v>
      </c>
    </row>
    <row r="325" spans="1:15" x14ac:dyDescent="0.3">
      <c r="A325" t="s">
        <v>19</v>
      </c>
      <c r="B325" t="s">
        <v>114</v>
      </c>
      <c r="C325" t="s">
        <v>24</v>
      </c>
      <c r="D325" t="s">
        <v>40</v>
      </c>
      <c r="E325" t="s">
        <v>387</v>
      </c>
      <c r="F325" t="s">
        <v>386</v>
      </c>
    </row>
    <row r="326" spans="1:15" x14ac:dyDescent="0.3">
      <c r="A326" t="s">
        <v>19</v>
      </c>
      <c r="B326" t="s">
        <v>116</v>
      </c>
      <c r="C326" t="s">
        <v>24</v>
      </c>
      <c r="D326" t="s">
        <v>40</v>
      </c>
      <c r="E326" t="s">
        <v>387</v>
      </c>
      <c r="F326" t="s">
        <v>384</v>
      </c>
      <c r="L326">
        <v>224725.94</v>
      </c>
      <c r="M326">
        <v>561814.86</v>
      </c>
    </row>
    <row r="327" spans="1:15" x14ac:dyDescent="0.3">
      <c r="A327" t="s">
        <v>19</v>
      </c>
      <c r="B327" t="s">
        <v>116</v>
      </c>
      <c r="C327" t="s">
        <v>24</v>
      </c>
      <c r="D327" t="s">
        <v>40</v>
      </c>
      <c r="E327" t="s">
        <v>387</v>
      </c>
      <c r="F327" t="s">
        <v>385</v>
      </c>
      <c r="L327">
        <v>224725.94</v>
      </c>
      <c r="M327">
        <v>561814.86</v>
      </c>
    </row>
    <row r="328" spans="1:15" x14ac:dyDescent="0.3">
      <c r="A328" t="s">
        <v>19</v>
      </c>
      <c r="B328" t="s">
        <v>116</v>
      </c>
      <c r="C328" t="s">
        <v>24</v>
      </c>
      <c r="D328" t="s">
        <v>40</v>
      </c>
      <c r="E328" t="s">
        <v>387</v>
      </c>
      <c r="F328" t="s">
        <v>386</v>
      </c>
    </row>
    <row r="329" spans="1:15" x14ac:dyDescent="0.3">
      <c r="A329" t="s">
        <v>19</v>
      </c>
      <c r="B329" t="s">
        <v>118</v>
      </c>
      <c r="C329" t="s">
        <v>24</v>
      </c>
      <c r="D329" t="s">
        <v>40</v>
      </c>
      <c r="E329" t="s">
        <v>387</v>
      </c>
      <c r="F329" t="s">
        <v>384</v>
      </c>
      <c r="M329">
        <v>131090.13</v>
      </c>
      <c r="N329">
        <v>458815.47</v>
      </c>
      <c r="O329">
        <v>196635.2</v>
      </c>
    </row>
    <row r="330" spans="1:15" x14ac:dyDescent="0.3">
      <c r="A330" t="s">
        <v>19</v>
      </c>
      <c r="B330" t="s">
        <v>118</v>
      </c>
      <c r="C330" t="s">
        <v>24</v>
      </c>
      <c r="D330" t="s">
        <v>40</v>
      </c>
      <c r="E330" t="s">
        <v>387</v>
      </c>
      <c r="F330" t="s">
        <v>385</v>
      </c>
      <c r="M330">
        <v>131090.13</v>
      </c>
      <c r="N330">
        <v>458815.47</v>
      </c>
      <c r="O330">
        <v>196635.2</v>
      </c>
    </row>
    <row r="331" spans="1:15" x14ac:dyDescent="0.3">
      <c r="A331" t="s">
        <v>19</v>
      </c>
      <c r="B331" t="s">
        <v>118</v>
      </c>
      <c r="C331" t="s">
        <v>24</v>
      </c>
      <c r="D331" t="s">
        <v>40</v>
      </c>
      <c r="E331" t="s">
        <v>387</v>
      </c>
      <c r="F331" t="s">
        <v>386</v>
      </c>
    </row>
    <row r="332" spans="1:15" x14ac:dyDescent="0.3">
      <c r="A332" t="s">
        <v>19</v>
      </c>
      <c r="B332" t="s">
        <v>120</v>
      </c>
      <c r="C332" t="s">
        <v>24</v>
      </c>
      <c r="D332" t="s">
        <v>61</v>
      </c>
      <c r="E332" t="s">
        <v>387</v>
      </c>
      <c r="F332" t="s">
        <v>384</v>
      </c>
      <c r="K332">
        <v>786540.8</v>
      </c>
    </row>
    <row r="333" spans="1:15" x14ac:dyDescent="0.3">
      <c r="A333" t="s">
        <v>19</v>
      </c>
      <c r="B333" t="s">
        <v>120</v>
      </c>
      <c r="C333" t="s">
        <v>24</v>
      </c>
      <c r="D333" t="s">
        <v>61</v>
      </c>
      <c r="E333" t="s">
        <v>387</v>
      </c>
      <c r="F333" t="s">
        <v>385</v>
      </c>
      <c r="K333">
        <v>786540.8</v>
      </c>
    </row>
    <row r="334" spans="1:15" x14ac:dyDescent="0.3">
      <c r="A334" t="s">
        <v>19</v>
      </c>
      <c r="B334" t="s">
        <v>120</v>
      </c>
      <c r="C334" t="s">
        <v>24</v>
      </c>
      <c r="D334" t="s">
        <v>61</v>
      </c>
      <c r="E334" t="s">
        <v>387</v>
      </c>
      <c r="F334" t="s">
        <v>386</v>
      </c>
    </row>
    <row r="335" spans="1:15" x14ac:dyDescent="0.3">
      <c r="A335" t="s">
        <v>19</v>
      </c>
      <c r="B335" t="s">
        <v>123</v>
      </c>
      <c r="C335" t="s">
        <v>24</v>
      </c>
      <c r="D335" t="s">
        <v>64</v>
      </c>
      <c r="E335" t="s">
        <v>387</v>
      </c>
      <c r="F335" t="s">
        <v>384</v>
      </c>
      <c r="K335">
        <v>786540.8</v>
      </c>
    </row>
    <row r="336" spans="1:15" x14ac:dyDescent="0.3">
      <c r="A336" t="s">
        <v>19</v>
      </c>
      <c r="B336" t="s">
        <v>123</v>
      </c>
      <c r="C336" t="s">
        <v>24</v>
      </c>
      <c r="D336" t="s">
        <v>64</v>
      </c>
      <c r="E336" t="s">
        <v>387</v>
      </c>
      <c r="F336" t="s">
        <v>385</v>
      </c>
      <c r="K336">
        <v>786540.8</v>
      </c>
    </row>
    <row r="337" spans="1:38" x14ac:dyDescent="0.3">
      <c r="A337" t="s">
        <v>19</v>
      </c>
      <c r="B337" t="s">
        <v>123</v>
      </c>
      <c r="C337" t="s">
        <v>24</v>
      </c>
      <c r="D337" t="s">
        <v>64</v>
      </c>
      <c r="E337" t="s">
        <v>387</v>
      </c>
      <c r="F337" t="s">
        <v>386</v>
      </c>
    </row>
    <row r="338" spans="1:38" x14ac:dyDescent="0.3">
      <c r="A338" t="s">
        <v>19</v>
      </c>
      <c r="B338" t="s">
        <v>125</v>
      </c>
      <c r="C338" t="s">
        <v>128</v>
      </c>
      <c r="D338" t="s">
        <v>40</v>
      </c>
      <c r="E338" t="s">
        <v>387</v>
      </c>
      <c r="F338" t="s">
        <v>384</v>
      </c>
      <c r="R338">
        <v>1166281.77</v>
      </c>
      <c r="S338">
        <v>2040993.09</v>
      </c>
      <c r="T338">
        <v>2040993.09</v>
      </c>
      <c r="U338">
        <v>1457852.21</v>
      </c>
      <c r="W338">
        <v>291570.44</v>
      </c>
      <c r="X338">
        <v>2040993.09</v>
      </c>
      <c r="Y338">
        <v>2040993.09</v>
      </c>
      <c r="Z338">
        <v>2040993.09</v>
      </c>
      <c r="AA338">
        <v>2040993.09</v>
      </c>
      <c r="AB338">
        <v>2040993.09</v>
      </c>
      <c r="AC338">
        <v>291570.44</v>
      </c>
    </row>
    <row r="339" spans="1:38" x14ac:dyDescent="0.3">
      <c r="A339" t="s">
        <v>19</v>
      </c>
      <c r="B339" t="s">
        <v>125</v>
      </c>
      <c r="C339" t="s">
        <v>128</v>
      </c>
      <c r="D339" t="s">
        <v>40</v>
      </c>
      <c r="E339" t="s">
        <v>387</v>
      </c>
      <c r="F339" t="s">
        <v>385</v>
      </c>
      <c r="R339">
        <v>999670.09</v>
      </c>
      <c r="S339">
        <v>1749422.65</v>
      </c>
      <c r="T339">
        <v>1749422.65</v>
      </c>
      <c r="U339">
        <v>1249587.6100000001</v>
      </c>
      <c r="W339">
        <v>249917.52</v>
      </c>
      <c r="X339">
        <v>1749422.65</v>
      </c>
      <c r="Y339">
        <v>1749422.65</v>
      </c>
      <c r="Z339">
        <v>1749422.65</v>
      </c>
      <c r="AA339">
        <v>1749422.65</v>
      </c>
      <c r="AB339">
        <v>1749422.65</v>
      </c>
      <c r="AC339">
        <v>1749422.65</v>
      </c>
      <c r="AD339">
        <v>999670.09</v>
      </c>
    </row>
    <row r="340" spans="1:38" x14ac:dyDescent="0.3">
      <c r="A340" t="s">
        <v>19</v>
      </c>
      <c r="B340" t="s">
        <v>125</v>
      </c>
      <c r="C340" t="s">
        <v>128</v>
      </c>
      <c r="D340" t="s">
        <v>40</v>
      </c>
      <c r="E340" t="s">
        <v>387</v>
      </c>
      <c r="F340" t="s">
        <v>386</v>
      </c>
    </row>
    <row r="341" spans="1:38" x14ac:dyDescent="0.3">
      <c r="A341" t="s">
        <v>19</v>
      </c>
      <c r="B341" t="s">
        <v>131</v>
      </c>
      <c r="C341" t="s">
        <v>128</v>
      </c>
      <c r="D341" t="s">
        <v>40</v>
      </c>
      <c r="E341" t="s">
        <v>387</v>
      </c>
      <c r="F341" t="s">
        <v>384</v>
      </c>
      <c r="X341">
        <v>85972.75</v>
      </c>
      <c r="Y341">
        <v>601809.25</v>
      </c>
      <c r="Z341">
        <v>601809.25</v>
      </c>
      <c r="AA341">
        <v>601809.25</v>
      </c>
      <c r="AB341">
        <v>601809.25</v>
      </c>
      <c r="AC341">
        <v>601809.25</v>
      </c>
      <c r="AD341">
        <v>601809.25</v>
      </c>
      <c r="AE341">
        <v>515836.5</v>
      </c>
      <c r="AG341">
        <v>85972.75</v>
      </c>
      <c r="AH341">
        <v>601809.25</v>
      </c>
      <c r="AI341">
        <v>257918.25</v>
      </c>
    </row>
    <row r="342" spans="1:38" x14ac:dyDescent="0.3">
      <c r="A342" t="s">
        <v>19</v>
      </c>
      <c r="B342" t="s">
        <v>131</v>
      </c>
      <c r="C342" t="s">
        <v>128</v>
      </c>
      <c r="D342" t="s">
        <v>40</v>
      </c>
      <c r="E342" t="s">
        <v>387</v>
      </c>
      <c r="F342" t="s">
        <v>385</v>
      </c>
      <c r="X342">
        <v>73690.929999999993</v>
      </c>
      <c r="Y342">
        <v>515836.5</v>
      </c>
      <c r="Z342">
        <v>515836.5</v>
      </c>
      <c r="AA342">
        <v>515836.5</v>
      </c>
      <c r="AB342">
        <v>515836.5</v>
      </c>
      <c r="AC342">
        <v>515836.5</v>
      </c>
      <c r="AD342">
        <v>515836.5</v>
      </c>
      <c r="AE342">
        <v>442145.57</v>
      </c>
      <c r="AG342">
        <v>73690.929999999993</v>
      </c>
      <c r="AH342">
        <v>515836.5</v>
      </c>
      <c r="AI342">
        <v>515836.5</v>
      </c>
      <c r="AJ342">
        <v>442145.57</v>
      </c>
    </row>
    <row r="343" spans="1:38" x14ac:dyDescent="0.3">
      <c r="A343" t="s">
        <v>19</v>
      </c>
      <c r="B343" t="s">
        <v>131</v>
      </c>
      <c r="C343" t="s">
        <v>128</v>
      </c>
      <c r="D343" t="s">
        <v>40</v>
      </c>
      <c r="E343" t="s">
        <v>387</v>
      </c>
      <c r="F343" t="s">
        <v>386</v>
      </c>
    </row>
    <row r="344" spans="1:38" x14ac:dyDescent="0.3">
      <c r="A344" t="s">
        <v>19</v>
      </c>
      <c r="B344" t="s">
        <v>134</v>
      </c>
      <c r="C344" t="s">
        <v>128</v>
      </c>
      <c r="D344" t="s">
        <v>45</v>
      </c>
      <c r="E344" t="s">
        <v>387</v>
      </c>
      <c r="F344" t="s">
        <v>384</v>
      </c>
      <c r="K344">
        <v>4008786.53</v>
      </c>
      <c r="L344">
        <v>4676917.6100000003</v>
      </c>
      <c r="M344">
        <v>4676917.6100000003</v>
      </c>
      <c r="N344">
        <v>4676917.6100000003</v>
      </c>
      <c r="O344">
        <v>4676917.6100000003</v>
      </c>
      <c r="P344">
        <v>4676917.6100000003</v>
      </c>
      <c r="Q344">
        <v>4676917.6100000003</v>
      </c>
      <c r="R344">
        <v>4676917.6100000003</v>
      </c>
      <c r="S344">
        <v>4676917.6100000003</v>
      </c>
      <c r="T344">
        <v>4676917.6100000003</v>
      </c>
      <c r="U344">
        <v>3340655.44</v>
      </c>
      <c r="W344">
        <v>668131.09</v>
      </c>
      <c r="X344">
        <v>4676917.6100000003</v>
      </c>
      <c r="Y344">
        <v>4676917.6100000003</v>
      </c>
      <c r="Z344">
        <v>668131.09</v>
      </c>
    </row>
    <row r="345" spans="1:38" x14ac:dyDescent="0.3">
      <c r="A345" t="s">
        <v>19</v>
      </c>
      <c r="B345" t="s">
        <v>134</v>
      </c>
      <c r="C345" t="s">
        <v>128</v>
      </c>
      <c r="D345" t="s">
        <v>45</v>
      </c>
      <c r="E345" t="s">
        <v>387</v>
      </c>
      <c r="F345" t="s">
        <v>385</v>
      </c>
      <c r="K345">
        <v>3436102.74</v>
      </c>
      <c r="L345">
        <v>4008786.53</v>
      </c>
      <c r="M345">
        <v>4008786.53</v>
      </c>
      <c r="N345">
        <v>4008786.53</v>
      </c>
      <c r="O345">
        <v>4008786.53</v>
      </c>
      <c r="P345">
        <v>4008786.53</v>
      </c>
      <c r="Q345">
        <v>4008786.53</v>
      </c>
      <c r="R345">
        <v>4008786.53</v>
      </c>
      <c r="S345">
        <v>4008786.53</v>
      </c>
      <c r="T345">
        <v>4008786.53</v>
      </c>
      <c r="U345">
        <v>2863418.95</v>
      </c>
      <c r="W345">
        <v>572683.79</v>
      </c>
      <c r="X345">
        <v>4008786.53</v>
      </c>
      <c r="Y345">
        <v>4008786.53</v>
      </c>
      <c r="Z345">
        <v>4008786.53</v>
      </c>
      <c r="AA345">
        <v>4008786.53</v>
      </c>
      <c r="AB345">
        <v>1145367.58</v>
      </c>
    </row>
    <row r="346" spans="1:38" x14ac:dyDescent="0.3">
      <c r="A346" t="s">
        <v>19</v>
      </c>
      <c r="B346" t="s">
        <v>134</v>
      </c>
      <c r="C346" t="s">
        <v>128</v>
      </c>
      <c r="D346" t="s">
        <v>45</v>
      </c>
      <c r="E346" t="s">
        <v>387</v>
      </c>
      <c r="F346" t="s">
        <v>386</v>
      </c>
    </row>
    <row r="347" spans="1:38" x14ac:dyDescent="0.3">
      <c r="A347" t="s">
        <v>19</v>
      </c>
      <c r="B347" t="s">
        <v>138</v>
      </c>
      <c r="C347" t="s">
        <v>128</v>
      </c>
      <c r="D347" t="s">
        <v>31</v>
      </c>
      <c r="E347" t="s">
        <v>387</v>
      </c>
      <c r="F347" t="s">
        <v>384</v>
      </c>
      <c r="U347">
        <v>1328841.99</v>
      </c>
      <c r="W347">
        <v>442947.33</v>
      </c>
      <c r="X347">
        <v>3100631.31</v>
      </c>
      <c r="Y347">
        <v>3100631.31</v>
      </c>
      <c r="Z347">
        <v>3100631.31</v>
      </c>
      <c r="AA347">
        <v>3100631.31</v>
      </c>
      <c r="AB347">
        <v>3100631.31</v>
      </c>
      <c r="AC347">
        <v>3100631.31</v>
      </c>
      <c r="AD347">
        <v>3100631.31</v>
      </c>
      <c r="AE347">
        <v>2657683.98</v>
      </c>
      <c r="AG347">
        <v>442947.33</v>
      </c>
      <c r="AH347">
        <v>3100631.31</v>
      </c>
      <c r="AI347">
        <v>3100631.31</v>
      </c>
      <c r="AJ347">
        <v>3100631.31</v>
      </c>
      <c r="AK347">
        <v>3100631.31</v>
      </c>
      <c r="AL347">
        <v>885894.66</v>
      </c>
    </row>
    <row r="348" spans="1:38" x14ac:dyDescent="0.3">
      <c r="A348" t="s">
        <v>19</v>
      </c>
      <c r="B348" t="s">
        <v>138</v>
      </c>
      <c r="C348" t="s">
        <v>128</v>
      </c>
      <c r="D348" t="s">
        <v>31</v>
      </c>
      <c r="E348" t="s">
        <v>387</v>
      </c>
      <c r="F348" t="s">
        <v>385</v>
      </c>
      <c r="U348">
        <v>1328841.99</v>
      </c>
      <c r="W348">
        <v>442947.33</v>
      </c>
      <c r="X348">
        <v>3100631.31</v>
      </c>
      <c r="Y348">
        <v>3100631.31</v>
      </c>
      <c r="Z348">
        <v>3100631.31</v>
      </c>
      <c r="AA348">
        <v>3100631.31</v>
      </c>
      <c r="AB348">
        <v>3100631.31</v>
      </c>
      <c r="AC348">
        <v>3100631.31</v>
      </c>
      <c r="AD348">
        <v>3100631.31</v>
      </c>
      <c r="AE348">
        <v>2657683.98</v>
      </c>
      <c r="AG348">
        <v>442947.33</v>
      </c>
      <c r="AH348">
        <v>3100631.31</v>
      </c>
      <c r="AI348">
        <v>3100631.31</v>
      </c>
      <c r="AJ348">
        <v>3100631.31</v>
      </c>
      <c r="AK348">
        <v>3100631.31</v>
      </c>
      <c r="AL348">
        <v>885894.66</v>
      </c>
    </row>
    <row r="349" spans="1:38" x14ac:dyDescent="0.3">
      <c r="A349" t="s">
        <v>19</v>
      </c>
      <c r="B349" t="s">
        <v>138</v>
      </c>
      <c r="C349" t="s">
        <v>128</v>
      </c>
      <c r="D349" t="s">
        <v>31</v>
      </c>
      <c r="E349" t="s">
        <v>387</v>
      </c>
      <c r="F349" t="s">
        <v>386</v>
      </c>
    </row>
    <row r="350" spans="1:38" x14ac:dyDescent="0.3">
      <c r="A350" t="s">
        <v>19</v>
      </c>
      <c r="B350" t="s">
        <v>141</v>
      </c>
      <c r="C350" t="s">
        <v>128</v>
      </c>
      <c r="D350" t="s">
        <v>31</v>
      </c>
      <c r="E350" t="s">
        <v>387</v>
      </c>
      <c r="F350" t="s">
        <v>384</v>
      </c>
      <c r="U350">
        <v>233718.15</v>
      </c>
      <c r="W350">
        <v>77906.05</v>
      </c>
      <c r="X350">
        <v>545342.35</v>
      </c>
      <c r="Y350">
        <v>545342.35</v>
      </c>
      <c r="Z350">
        <v>545342.35</v>
      </c>
      <c r="AA350">
        <v>545342.35</v>
      </c>
      <c r="AB350">
        <v>545342.35</v>
      </c>
      <c r="AC350">
        <v>545342.35</v>
      </c>
      <c r="AD350">
        <v>545342.35</v>
      </c>
      <c r="AE350">
        <v>467436.3</v>
      </c>
      <c r="AG350">
        <v>77906.05</v>
      </c>
    </row>
    <row r="351" spans="1:38" x14ac:dyDescent="0.3">
      <c r="A351" t="s">
        <v>19</v>
      </c>
      <c r="B351" t="s">
        <v>141</v>
      </c>
      <c r="C351" t="s">
        <v>128</v>
      </c>
      <c r="D351" t="s">
        <v>31</v>
      </c>
      <c r="E351" t="s">
        <v>387</v>
      </c>
      <c r="F351" t="s">
        <v>385</v>
      </c>
      <c r="U351">
        <v>175288.61</v>
      </c>
      <c r="W351">
        <v>58429.54</v>
      </c>
      <c r="X351">
        <v>409006.76</v>
      </c>
      <c r="Y351">
        <v>409006.76</v>
      </c>
      <c r="Z351">
        <v>409006.76</v>
      </c>
      <c r="AA351">
        <v>409006.76</v>
      </c>
      <c r="AB351">
        <v>409006.76</v>
      </c>
      <c r="AC351">
        <v>409006.76</v>
      </c>
      <c r="AD351">
        <v>409006.76</v>
      </c>
      <c r="AE351">
        <v>350577.23</v>
      </c>
      <c r="AG351">
        <v>58429.54</v>
      </c>
      <c r="AH351">
        <v>409006.76</v>
      </c>
      <c r="AI351">
        <v>409006.76</v>
      </c>
      <c r="AJ351">
        <v>350577.22</v>
      </c>
    </row>
    <row r="352" spans="1:38" x14ac:dyDescent="0.3">
      <c r="A352" t="s">
        <v>19</v>
      </c>
      <c r="B352" t="s">
        <v>141</v>
      </c>
      <c r="C352" t="s">
        <v>128</v>
      </c>
      <c r="D352" t="s">
        <v>31</v>
      </c>
      <c r="E352" t="s">
        <v>387</v>
      </c>
      <c r="F352" t="s">
        <v>386</v>
      </c>
    </row>
    <row r="353" spans="1:41" x14ac:dyDescent="0.3">
      <c r="A353" t="s">
        <v>19</v>
      </c>
      <c r="B353" t="s">
        <v>144</v>
      </c>
      <c r="C353" t="s">
        <v>128</v>
      </c>
      <c r="D353" t="s">
        <v>61</v>
      </c>
      <c r="E353" t="s">
        <v>387</v>
      </c>
      <c r="F353" t="s">
        <v>384</v>
      </c>
      <c r="AD353">
        <v>50546.080000000002</v>
      </c>
      <c r="AE353">
        <v>101092.16</v>
      </c>
      <c r="AG353">
        <v>16848.689999999999</v>
      </c>
      <c r="AH353">
        <v>117940.85</v>
      </c>
      <c r="AI353">
        <v>117940.85</v>
      </c>
      <c r="AJ353">
        <v>101092.16</v>
      </c>
    </row>
    <row r="354" spans="1:41" x14ac:dyDescent="0.3">
      <c r="A354" t="s">
        <v>19</v>
      </c>
      <c r="B354" t="s">
        <v>144</v>
      </c>
      <c r="C354" t="s">
        <v>128</v>
      </c>
      <c r="D354" t="s">
        <v>61</v>
      </c>
      <c r="E354" t="s">
        <v>387</v>
      </c>
      <c r="F354" t="s">
        <v>385</v>
      </c>
      <c r="AD354">
        <v>24858.73</v>
      </c>
      <c r="AE354">
        <v>49717.46</v>
      </c>
      <c r="AG354">
        <v>8286.24</v>
      </c>
      <c r="AH354">
        <v>58003.7</v>
      </c>
      <c r="AI354">
        <v>58003.7</v>
      </c>
      <c r="AJ354">
        <v>58003.7</v>
      </c>
      <c r="AK354">
        <v>58003.7</v>
      </c>
      <c r="AL354">
        <v>58003.7</v>
      </c>
      <c r="AM354">
        <v>58003.7</v>
      </c>
      <c r="AN354">
        <v>58003.7</v>
      </c>
      <c r="AO354">
        <v>16572.490000000002</v>
      </c>
    </row>
    <row r="355" spans="1:41" x14ac:dyDescent="0.3">
      <c r="A355" t="s">
        <v>19</v>
      </c>
      <c r="B355" t="s">
        <v>144</v>
      </c>
      <c r="C355" t="s">
        <v>128</v>
      </c>
      <c r="D355" t="s">
        <v>61</v>
      </c>
      <c r="E355" t="s">
        <v>387</v>
      </c>
      <c r="F355" t="s">
        <v>386</v>
      </c>
    </row>
    <row r="356" spans="1:41" x14ac:dyDescent="0.3">
      <c r="A356" t="s">
        <v>19</v>
      </c>
      <c r="B356" t="s">
        <v>148</v>
      </c>
      <c r="C356" t="s">
        <v>128</v>
      </c>
      <c r="D356" t="s">
        <v>64</v>
      </c>
      <c r="E356" t="s">
        <v>387</v>
      </c>
      <c r="F356" t="s">
        <v>384</v>
      </c>
      <c r="AD356">
        <v>34015.730000000003</v>
      </c>
      <c r="AE356">
        <v>68031.460000000006</v>
      </c>
      <c r="AG356">
        <v>11338.58</v>
      </c>
      <c r="AH356">
        <v>79370.039999999994</v>
      </c>
      <c r="AI356">
        <v>79370.039999999994</v>
      </c>
      <c r="AJ356">
        <v>68031.460000000006</v>
      </c>
    </row>
    <row r="357" spans="1:41" x14ac:dyDescent="0.3">
      <c r="A357" t="s">
        <v>19</v>
      </c>
      <c r="B357" t="s">
        <v>148</v>
      </c>
      <c r="C357" t="s">
        <v>128</v>
      </c>
      <c r="D357" t="s">
        <v>64</v>
      </c>
      <c r="E357" t="s">
        <v>387</v>
      </c>
      <c r="F357" t="s">
        <v>385</v>
      </c>
      <c r="AD357">
        <v>34015.730000000003</v>
      </c>
      <c r="AE357">
        <v>68031.460000000006</v>
      </c>
      <c r="AG357">
        <v>11338.58</v>
      </c>
      <c r="AH357">
        <v>79370.039999999994</v>
      </c>
      <c r="AI357">
        <v>79370.039999999994</v>
      </c>
      <c r="AJ357">
        <v>68031.460000000006</v>
      </c>
    </row>
    <row r="358" spans="1:41" x14ac:dyDescent="0.3">
      <c r="A358" t="s">
        <v>19</v>
      </c>
      <c r="B358" t="s">
        <v>148</v>
      </c>
      <c r="C358" t="s">
        <v>128</v>
      </c>
      <c r="D358" t="s">
        <v>64</v>
      </c>
      <c r="E358" t="s">
        <v>387</v>
      </c>
      <c r="F358" t="s">
        <v>386</v>
      </c>
    </row>
    <row r="359" spans="1:41" x14ac:dyDescent="0.3">
      <c r="A359" t="s">
        <v>19</v>
      </c>
      <c r="B359" t="s">
        <v>151</v>
      </c>
      <c r="C359" t="s">
        <v>128</v>
      </c>
      <c r="D359" t="s">
        <v>35</v>
      </c>
      <c r="E359" t="s">
        <v>387</v>
      </c>
      <c r="F359" t="s">
        <v>384</v>
      </c>
      <c r="R359">
        <v>371608.62</v>
      </c>
      <c r="S359">
        <v>433543.38</v>
      </c>
      <c r="T359">
        <v>433543.38</v>
      </c>
      <c r="U359">
        <v>309673.84999999998</v>
      </c>
      <c r="W359">
        <v>61934.77</v>
      </c>
      <c r="X359">
        <v>433543.38</v>
      </c>
      <c r="Y359">
        <v>433543.38</v>
      </c>
      <c r="Z359">
        <v>433543.38</v>
      </c>
      <c r="AA359">
        <v>433543.38</v>
      </c>
      <c r="AB359">
        <v>433543.38</v>
      </c>
      <c r="AC359">
        <v>433543.38</v>
      </c>
      <c r="AD359">
        <v>433543.38</v>
      </c>
      <c r="AE359">
        <v>371608.62</v>
      </c>
      <c r="AG359">
        <v>61934.77</v>
      </c>
      <c r="AH359">
        <v>433543.38</v>
      </c>
      <c r="AI359">
        <v>433543.38</v>
      </c>
      <c r="AJ359">
        <v>433543.38</v>
      </c>
      <c r="AK359">
        <v>433543.38</v>
      </c>
      <c r="AL359">
        <v>433543.38</v>
      </c>
      <c r="AM359">
        <v>185804.31</v>
      </c>
    </row>
    <row r="360" spans="1:41" x14ac:dyDescent="0.3">
      <c r="A360" t="s">
        <v>19</v>
      </c>
      <c r="B360" t="s">
        <v>151</v>
      </c>
      <c r="C360" t="s">
        <v>128</v>
      </c>
      <c r="D360" t="s">
        <v>35</v>
      </c>
      <c r="E360" t="s">
        <v>387</v>
      </c>
      <c r="F360" t="s">
        <v>385</v>
      </c>
      <c r="R360">
        <v>371608.62</v>
      </c>
      <c r="S360">
        <v>433543.38</v>
      </c>
      <c r="T360">
        <v>433543.38</v>
      </c>
      <c r="U360">
        <v>309673.84999999998</v>
      </c>
      <c r="W360">
        <v>61934.77</v>
      </c>
      <c r="X360">
        <v>433543.38</v>
      </c>
      <c r="Y360">
        <v>433543.38</v>
      </c>
      <c r="Z360">
        <v>433543.38</v>
      </c>
      <c r="AA360">
        <v>433543.38</v>
      </c>
      <c r="AB360">
        <v>433543.38</v>
      </c>
      <c r="AC360">
        <v>433543.38</v>
      </c>
      <c r="AD360">
        <v>433543.38</v>
      </c>
      <c r="AE360">
        <v>371608.62</v>
      </c>
      <c r="AG360">
        <v>61934.77</v>
      </c>
      <c r="AH360">
        <v>433543.38</v>
      </c>
      <c r="AI360">
        <v>433543.38</v>
      </c>
      <c r="AJ360">
        <v>433543.38</v>
      </c>
      <c r="AK360">
        <v>433543.38</v>
      </c>
      <c r="AL360">
        <v>433543.38</v>
      </c>
      <c r="AM360">
        <v>185804.31</v>
      </c>
    </row>
    <row r="361" spans="1:41" x14ac:dyDescent="0.3">
      <c r="A361" t="s">
        <v>19</v>
      </c>
      <c r="B361" t="s">
        <v>151</v>
      </c>
      <c r="C361" t="s">
        <v>128</v>
      </c>
      <c r="D361" t="s">
        <v>35</v>
      </c>
      <c r="E361" t="s">
        <v>387</v>
      </c>
      <c r="F361" t="s">
        <v>386</v>
      </c>
    </row>
    <row r="362" spans="1:41" x14ac:dyDescent="0.3">
      <c r="A362" t="s">
        <v>19</v>
      </c>
      <c r="B362" t="s">
        <v>155</v>
      </c>
      <c r="C362" t="s">
        <v>128</v>
      </c>
      <c r="D362" t="s">
        <v>35</v>
      </c>
      <c r="E362" t="s">
        <v>387</v>
      </c>
      <c r="F362" t="s">
        <v>384</v>
      </c>
      <c r="U362">
        <v>94177.01</v>
      </c>
      <c r="W362">
        <v>31392.34</v>
      </c>
      <c r="X362">
        <v>219746.35</v>
      </c>
      <c r="Y362">
        <v>219746.35</v>
      </c>
      <c r="Z362">
        <v>219746.35</v>
      </c>
      <c r="AA362">
        <v>219746.35</v>
      </c>
      <c r="AB362">
        <v>219746.35</v>
      </c>
      <c r="AC362">
        <v>219746.35</v>
      </c>
      <c r="AD362">
        <v>219746.35</v>
      </c>
      <c r="AE362">
        <v>188354.01</v>
      </c>
      <c r="AG362">
        <v>31392.34</v>
      </c>
      <c r="AH362">
        <v>219746.35</v>
      </c>
      <c r="AI362">
        <v>219746.35</v>
      </c>
      <c r="AJ362">
        <v>219746.35</v>
      </c>
      <c r="AK362">
        <v>219746.35</v>
      </c>
      <c r="AL362">
        <v>62784.67</v>
      </c>
    </row>
    <row r="363" spans="1:41" x14ac:dyDescent="0.3">
      <c r="A363" t="s">
        <v>19</v>
      </c>
      <c r="B363" t="s">
        <v>155</v>
      </c>
      <c r="C363" t="s">
        <v>128</v>
      </c>
      <c r="D363" t="s">
        <v>35</v>
      </c>
      <c r="E363" t="s">
        <v>387</v>
      </c>
      <c r="F363" t="s">
        <v>385</v>
      </c>
      <c r="U363">
        <v>94177.01</v>
      </c>
      <c r="W363">
        <v>31392.34</v>
      </c>
      <c r="X363">
        <v>219746.35</v>
      </c>
      <c r="Y363">
        <v>219746.35</v>
      </c>
      <c r="Z363">
        <v>219746.35</v>
      </c>
      <c r="AA363">
        <v>219746.35</v>
      </c>
      <c r="AB363">
        <v>219746.35</v>
      </c>
      <c r="AC363">
        <v>219746.35</v>
      </c>
      <c r="AD363">
        <v>219746.35</v>
      </c>
      <c r="AE363">
        <v>188354.01</v>
      </c>
      <c r="AG363">
        <v>31392.34</v>
      </c>
      <c r="AH363">
        <v>219746.35</v>
      </c>
      <c r="AI363">
        <v>219746.35</v>
      </c>
      <c r="AJ363">
        <v>219746.35</v>
      </c>
      <c r="AK363">
        <v>219746.35</v>
      </c>
      <c r="AL363">
        <v>62784.67</v>
      </c>
    </row>
    <row r="364" spans="1:41" x14ac:dyDescent="0.3">
      <c r="A364" t="s">
        <v>19</v>
      </c>
      <c r="B364" t="s">
        <v>155</v>
      </c>
      <c r="C364" t="s">
        <v>128</v>
      </c>
      <c r="D364" t="s">
        <v>35</v>
      </c>
      <c r="E364" t="s">
        <v>387</v>
      </c>
      <c r="F364" t="s">
        <v>386</v>
      </c>
    </row>
    <row r="365" spans="1:41" x14ac:dyDescent="0.3">
      <c r="A365" t="s">
        <v>19</v>
      </c>
      <c r="B365" t="s">
        <v>158</v>
      </c>
      <c r="C365" t="s">
        <v>161</v>
      </c>
      <c r="D365" t="s">
        <v>40</v>
      </c>
      <c r="E365" t="s">
        <v>387</v>
      </c>
      <c r="F365" t="s">
        <v>384</v>
      </c>
      <c r="J365">
        <v>226741.33</v>
      </c>
      <c r="K365">
        <v>317437.86</v>
      </c>
      <c r="L365">
        <v>317437.86</v>
      </c>
      <c r="M365">
        <v>45348.26</v>
      </c>
    </row>
    <row r="366" spans="1:41" x14ac:dyDescent="0.3">
      <c r="A366" t="s">
        <v>19</v>
      </c>
      <c r="B366" t="s">
        <v>158</v>
      </c>
      <c r="C366" t="s">
        <v>161</v>
      </c>
      <c r="D366" t="s">
        <v>40</v>
      </c>
      <c r="E366" t="s">
        <v>387</v>
      </c>
      <c r="F366" t="s">
        <v>385</v>
      </c>
      <c r="J366">
        <v>226741.33</v>
      </c>
      <c r="K366">
        <v>317437.86</v>
      </c>
      <c r="L366">
        <v>317437.86</v>
      </c>
      <c r="M366">
        <v>45348.26</v>
      </c>
    </row>
    <row r="367" spans="1:41" x14ac:dyDescent="0.3">
      <c r="A367" t="s">
        <v>19</v>
      </c>
      <c r="B367" t="s">
        <v>158</v>
      </c>
      <c r="C367" t="s">
        <v>161</v>
      </c>
      <c r="D367" t="s">
        <v>40</v>
      </c>
      <c r="E367" t="s">
        <v>387</v>
      </c>
      <c r="F367" t="s">
        <v>386</v>
      </c>
    </row>
    <row r="368" spans="1:41" x14ac:dyDescent="0.3">
      <c r="A368" t="s">
        <v>19</v>
      </c>
      <c r="B368" t="s">
        <v>164</v>
      </c>
      <c r="C368" t="s">
        <v>161</v>
      </c>
      <c r="D368" t="s">
        <v>40</v>
      </c>
      <c r="E368" t="s">
        <v>387</v>
      </c>
      <c r="F368" t="s">
        <v>384</v>
      </c>
      <c r="X368">
        <v>493162.38</v>
      </c>
      <c r="Y368">
        <v>328774.92</v>
      </c>
    </row>
    <row r="369" spans="1:41" x14ac:dyDescent="0.3">
      <c r="A369" t="s">
        <v>19</v>
      </c>
      <c r="B369" t="s">
        <v>164</v>
      </c>
      <c r="C369" t="s">
        <v>161</v>
      </c>
      <c r="D369" t="s">
        <v>40</v>
      </c>
      <c r="E369" t="s">
        <v>387</v>
      </c>
      <c r="F369" t="s">
        <v>385</v>
      </c>
      <c r="X369">
        <v>164387.46</v>
      </c>
      <c r="Y369">
        <v>575356.11</v>
      </c>
      <c r="Z369">
        <v>82193.73</v>
      </c>
    </row>
    <row r="370" spans="1:41" x14ac:dyDescent="0.3">
      <c r="A370" t="s">
        <v>19</v>
      </c>
      <c r="B370" t="s">
        <v>164</v>
      </c>
      <c r="C370" t="s">
        <v>161</v>
      </c>
      <c r="D370" t="s">
        <v>40</v>
      </c>
      <c r="E370" t="s">
        <v>387</v>
      </c>
      <c r="F370" t="s">
        <v>386</v>
      </c>
    </row>
    <row r="371" spans="1:41" x14ac:dyDescent="0.3">
      <c r="A371" t="s">
        <v>19</v>
      </c>
      <c r="B371" t="s">
        <v>167</v>
      </c>
      <c r="C371" t="s">
        <v>161</v>
      </c>
      <c r="D371" t="s">
        <v>40</v>
      </c>
      <c r="E371" t="s">
        <v>387</v>
      </c>
      <c r="F371" t="s">
        <v>384</v>
      </c>
      <c r="M371">
        <v>51016.800000000003</v>
      </c>
      <c r="N371">
        <v>59519.6</v>
      </c>
      <c r="O371">
        <v>25508.400000000001</v>
      </c>
    </row>
    <row r="372" spans="1:41" x14ac:dyDescent="0.3">
      <c r="A372" t="s">
        <v>19</v>
      </c>
      <c r="B372" t="s">
        <v>167</v>
      </c>
      <c r="C372" t="s">
        <v>161</v>
      </c>
      <c r="D372" t="s">
        <v>40</v>
      </c>
      <c r="E372" t="s">
        <v>387</v>
      </c>
      <c r="F372" t="s">
        <v>385</v>
      </c>
      <c r="M372">
        <v>51016.800000000003</v>
      </c>
      <c r="N372">
        <v>59519.6</v>
      </c>
      <c r="O372">
        <v>25508.400000000001</v>
      </c>
    </row>
    <row r="373" spans="1:41" x14ac:dyDescent="0.3">
      <c r="A373" t="s">
        <v>19</v>
      </c>
      <c r="B373" t="s">
        <v>167</v>
      </c>
      <c r="C373" t="s">
        <v>161</v>
      </c>
      <c r="D373" t="s">
        <v>40</v>
      </c>
      <c r="E373" t="s">
        <v>387</v>
      </c>
      <c r="F373" t="s">
        <v>386</v>
      </c>
    </row>
    <row r="374" spans="1:41" x14ac:dyDescent="0.3">
      <c r="A374" t="s">
        <v>19</v>
      </c>
      <c r="B374" t="s">
        <v>171</v>
      </c>
      <c r="C374" t="s">
        <v>161</v>
      </c>
      <c r="D374" t="s">
        <v>40</v>
      </c>
      <c r="E374" t="s">
        <v>387</v>
      </c>
      <c r="F374" t="s">
        <v>384</v>
      </c>
      <c r="O374">
        <v>269255.32</v>
      </c>
      <c r="P374">
        <v>471196.8</v>
      </c>
      <c r="Q374">
        <v>471196.8</v>
      </c>
      <c r="R374">
        <v>403882.98</v>
      </c>
    </row>
    <row r="375" spans="1:41" x14ac:dyDescent="0.3">
      <c r="A375" t="s">
        <v>19</v>
      </c>
      <c r="B375" t="s">
        <v>171</v>
      </c>
      <c r="C375" t="s">
        <v>161</v>
      </c>
      <c r="D375" t="s">
        <v>40</v>
      </c>
      <c r="E375" t="s">
        <v>387</v>
      </c>
      <c r="F375" t="s">
        <v>385</v>
      </c>
      <c r="O375">
        <v>269255.32</v>
      </c>
      <c r="P375">
        <v>471196.8</v>
      </c>
      <c r="Q375">
        <v>471196.8</v>
      </c>
      <c r="R375">
        <v>403882.98</v>
      </c>
    </row>
    <row r="376" spans="1:41" x14ac:dyDescent="0.3">
      <c r="A376" t="s">
        <v>19</v>
      </c>
      <c r="B376" t="s">
        <v>171</v>
      </c>
      <c r="C376" t="s">
        <v>161</v>
      </c>
      <c r="D376" t="s">
        <v>40</v>
      </c>
      <c r="E376" t="s">
        <v>387</v>
      </c>
      <c r="F376" t="s">
        <v>386</v>
      </c>
    </row>
    <row r="377" spans="1:41" x14ac:dyDescent="0.3">
      <c r="A377" t="s">
        <v>19</v>
      </c>
      <c r="B377" t="s">
        <v>175</v>
      </c>
      <c r="C377" t="s">
        <v>161</v>
      </c>
      <c r="D377" t="s">
        <v>40</v>
      </c>
      <c r="E377" t="s">
        <v>387</v>
      </c>
      <c r="F377" t="s">
        <v>384</v>
      </c>
      <c r="R377">
        <v>98738.76</v>
      </c>
      <c r="S377">
        <v>691171.33</v>
      </c>
      <c r="T377">
        <v>691171.33</v>
      </c>
      <c r="U377">
        <v>296216.28000000003</v>
      </c>
    </row>
    <row r="378" spans="1:41" x14ac:dyDescent="0.3">
      <c r="A378" t="s">
        <v>19</v>
      </c>
      <c r="B378" t="s">
        <v>175</v>
      </c>
      <c r="C378" t="s">
        <v>161</v>
      </c>
      <c r="D378" t="s">
        <v>40</v>
      </c>
      <c r="E378" t="s">
        <v>387</v>
      </c>
      <c r="F378" t="s">
        <v>385</v>
      </c>
      <c r="R378">
        <v>88864.89</v>
      </c>
      <c r="S378">
        <v>622054.19999999995</v>
      </c>
      <c r="T378">
        <v>622054.19999999995</v>
      </c>
      <c r="U378">
        <v>444324.43</v>
      </c>
    </row>
    <row r="379" spans="1:41" x14ac:dyDescent="0.3">
      <c r="A379" t="s">
        <v>19</v>
      </c>
      <c r="B379" t="s">
        <v>175</v>
      </c>
      <c r="C379" t="s">
        <v>161</v>
      </c>
      <c r="D379" t="s">
        <v>40</v>
      </c>
      <c r="E379" t="s">
        <v>387</v>
      </c>
      <c r="F379" t="s">
        <v>386</v>
      </c>
    </row>
    <row r="380" spans="1:41" x14ac:dyDescent="0.3">
      <c r="A380" t="s">
        <v>19</v>
      </c>
      <c r="B380" t="s">
        <v>179</v>
      </c>
      <c r="C380" t="s">
        <v>161</v>
      </c>
      <c r="D380" t="s">
        <v>40</v>
      </c>
      <c r="E380" t="s">
        <v>387</v>
      </c>
      <c r="F380" t="s">
        <v>384</v>
      </c>
      <c r="AI380">
        <v>535225.44999999995</v>
      </c>
      <c r="AJ380">
        <v>749315.64</v>
      </c>
      <c r="AK380">
        <v>749315.64</v>
      </c>
      <c r="AL380">
        <v>321135.27</v>
      </c>
    </row>
    <row r="381" spans="1:41" x14ac:dyDescent="0.3">
      <c r="A381" t="s">
        <v>19</v>
      </c>
      <c r="B381" t="s">
        <v>179</v>
      </c>
      <c r="C381" t="s">
        <v>161</v>
      </c>
      <c r="D381" t="s">
        <v>40</v>
      </c>
      <c r="E381" t="s">
        <v>387</v>
      </c>
      <c r="F381" t="s">
        <v>385</v>
      </c>
      <c r="AI381">
        <v>535225.44999999995</v>
      </c>
      <c r="AJ381">
        <v>749315.64</v>
      </c>
      <c r="AK381">
        <v>749315.64</v>
      </c>
      <c r="AL381">
        <v>321135.27</v>
      </c>
    </row>
    <row r="382" spans="1:41" x14ac:dyDescent="0.3">
      <c r="A382" t="s">
        <v>19</v>
      </c>
      <c r="B382" t="s">
        <v>179</v>
      </c>
      <c r="C382" t="s">
        <v>161</v>
      </c>
      <c r="D382" t="s">
        <v>40</v>
      </c>
      <c r="E382" t="s">
        <v>387</v>
      </c>
      <c r="F382" t="s">
        <v>386</v>
      </c>
    </row>
    <row r="383" spans="1:41" x14ac:dyDescent="0.3">
      <c r="A383" t="s">
        <v>19</v>
      </c>
      <c r="B383" t="s">
        <v>183</v>
      </c>
      <c r="C383" t="s">
        <v>161</v>
      </c>
      <c r="D383" t="s">
        <v>40</v>
      </c>
      <c r="E383" t="s">
        <v>387</v>
      </c>
      <c r="F383" t="s">
        <v>384</v>
      </c>
      <c r="AL383">
        <v>146188.48000000001</v>
      </c>
      <c r="AM383">
        <v>255829.85</v>
      </c>
      <c r="AN383">
        <v>255829.85</v>
      </c>
      <c r="AO383">
        <v>36547.120000000003</v>
      </c>
    </row>
    <row r="384" spans="1:41" x14ac:dyDescent="0.3">
      <c r="A384" t="s">
        <v>19</v>
      </c>
      <c r="B384" t="s">
        <v>183</v>
      </c>
      <c r="C384" t="s">
        <v>161</v>
      </c>
      <c r="D384" t="s">
        <v>40</v>
      </c>
      <c r="E384" t="s">
        <v>387</v>
      </c>
      <c r="F384" t="s">
        <v>385</v>
      </c>
      <c r="AL384">
        <v>146188.48000000001</v>
      </c>
      <c r="AM384">
        <v>255829.85</v>
      </c>
      <c r="AN384">
        <v>255829.85</v>
      </c>
      <c r="AO384">
        <v>36547.120000000003</v>
      </c>
    </row>
    <row r="385" spans="1:48" x14ac:dyDescent="0.3">
      <c r="A385" t="s">
        <v>19</v>
      </c>
      <c r="B385" t="s">
        <v>183</v>
      </c>
      <c r="C385" t="s">
        <v>161</v>
      </c>
      <c r="D385" t="s">
        <v>40</v>
      </c>
      <c r="E385" t="s">
        <v>387</v>
      </c>
      <c r="F385" t="s">
        <v>386</v>
      </c>
    </row>
    <row r="386" spans="1:48" x14ac:dyDescent="0.3">
      <c r="A386" t="s">
        <v>19</v>
      </c>
      <c r="B386" t="s">
        <v>187</v>
      </c>
      <c r="C386" t="s">
        <v>161</v>
      </c>
      <c r="D386" t="s">
        <v>45</v>
      </c>
      <c r="E386" t="s">
        <v>387</v>
      </c>
      <c r="F386" t="s">
        <v>384</v>
      </c>
      <c r="AB386">
        <v>1349110.85</v>
      </c>
      <c r="AC386">
        <v>1888755.19</v>
      </c>
      <c r="AD386">
        <v>1888755.19</v>
      </c>
      <c r="AE386">
        <v>1618933.02</v>
      </c>
      <c r="AG386">
        <v>269822.17</v>
      </c>
      <c r="AH386">
        <v>1079288.68</v>
      </c>
    </row>
    <row r="387" spans="1:48" x14ac:dyDescent="0.3">
      <c r="A387" t="s">
        <v>19</v>
      </c>
      <c r="B387" t="s">
        <v>187</v>
      </c>
      <c r="C387" t="s">
        <v>161</v>
      </c>
      <c r="D387" t="s">
        <v>45</v>
      </c>
      <c r="E387" t="s">
        <v>387</v>
      </c>
      <c r="F387" t="s">
        <v>385</v>
      </c>
      <c r="AB387">
        <v>1156380.73</v>
      </c>
      <c r="AC387">
        <v>1618933.02</v>
      </c>
      <c r="AD387">
        <v>1618933.02</v>
      </c>
      <c r="AE387">
        <v>1387656.87</v>
      </c>
      <c r="AG387">
        <v>231276.15</v>
      </c>
      <c r="AH387">
        <v>1618933.02</v>
      </c>
      <c r="AI387">
        <v>462552.29</v>
      </c>
    </row>
    <row r="388" spans="1:48" x14ac:dyDescent="0.3">
      <c r="A388" t="s">
        <v>19</v>
      </c>
      <c r="B388" t="s">
        <v>187</v>
      </c>
      <c r="C388" t="s">
        <v>161</v>
      </c>
      <c r="D388" t="s">
        <v>45</v>
      </c>
      <c r="E388" t="s">
        <v>387</v>
      </c>
      <c r="F388" t="s">
        <v>386</v>
      </c>
    </row>
    <row r="389" spans="1:48" x14ac:dyDescent="0.3">
      <c r="A389" t="s">
        <v>19</v>
      </c>
      <c r="B389" t="s">
        <v>191</v>
      </c>
      <c r="C389" t="s">
        <v>161</v>
      </c>
      <c r="D389" t="s">
        <v>31</v>
      </c>
      <c r="E389" t="s">
        <v>387</v>
      </c>
      <c r="F389" t="s">
        <v>384</v>
      </c>
      <c r="AO389">
        <v>545065.31000000006</v>
      </c>
      <c r="AP389">
        <v>1907728.58</v>
      </c>
      <c r="AQ389">
        <v>1907728.58</v>
      </c>
      <c r="AR389">
        <v>1635195.93</v>
      </c>
    </row>
    <row r="390" spans="1:48" x14ac:dyDescent="0.3">
      <c r="A390" t="s">
        <v>19</v>
      </c>
      <c r="B390" t="s">
        <v>191</v>
      </c>
      <c r="C390" t="s">
        <v>161</v>
      </c>
      <c r="D390" t="s">
        <v>31</v>
      </c>
      <c r="E390" t="s">
        <v>387</v>
      </c>
      <c r="F390" t="s">
        <v>385</v>
      </c>
    </row>
    <row r="391" spans="1:48" x14ac:dyDescent="0.3">
      <c r="A391" t="s">
        <v>19</v>
      </c>
      <c r="B391" t="s">
        <v>191</v>
      </c>
      <c r="C391" t="s">
        <v>161</v>
      </c>
      <c r="D391" t="s">
        <v>31</v>
      </c>
      <c r="E391" t="s">
        <v>387</v>
      </c>
      <c r="F391" t="s">
        <v>386</v>
      </c>
      <c r="AO391">
        <v>545065.31000000006</v>
      </c>
      <c r="AP391">
        <v>1907728.58</v>
      </c>
      <c r="AQ391">
        <v>1907728.58</v>
      </c>
      <c r="AR391">
        <v>1635195.93</v>
      </c>
    </row>
    <row r="392" spans="1:48" x14ac:dyDescent="0.3">
      <c r="A392" t="s">
        <v>19</v>
      </c>
      <c r="B392" t="s">
        <v>197</v>
      </c>
      <c r="C392" t="s">
        <v>161</v>
      </c>
      <c r="D392" t="s">
        <v>61</v>
      </c>
      <c r="E392" t="s">
        <v>387</v>
      </c>
      <c r="F392" t="s">
        <v>384</v>
      </c>
      <c r="AO392">
        <v>15120.62</v>
      </c>
      <c r="AP392">
        <v>52922.18</v>
      </c>
    </row>
    <row r="393" spans="1:48" x14ac:dyDescent="0.3">
      <c r="A393" t="s">
        <v>19</v>
      </c>
      <c r="B393" t="s">
        <v>197</v>
      </c>
      <c r="C393" t="s">
        <v>161</v>
      </c>
      <c r="D393" t="s">
        <v>61</v>
      </c>
      <c r="E393" t="s">
        <v>387</v>
      </c>
      <c r="F393" t="s">
        <v>385</v>
      </c>
    </row>
    <row r="394" spans="1:48" x14ac:dyDescent="0.3">
      <c r="A394" t="s">
        <v>19</v>
      </c>
      <c r="B394" t="s">
        <v>197</v>
      </c>
      <c r="C394" t="s">
        <v>161</v>
      </c>
      <c r="D394" t="s">
        <v>61</v>
      </c>
      <c r="E394" t="s">
        <v>387</v>
      </c>
      <c r="F394" t="s">
        <v>386</v>
      </c>
      <c r="AO394">
        <v>15120.62</v>
      </c>
      <c r="AP394">
        <v>52922.18</v>
      </c>
    </row>
    <row r="395" spans="1:48" x14ac:dyDescent="0.3">
      <c r="A395" t="s">
        <v>19</v>
      </c>
      <c r="B395" t="s">
        <v>202</v>
      </c>
      <c r="C395" t="s">
        <v>161</v>
      </c>
      <c r="D395" t="s">
        <v>64</v>
      </c>
      <c r="E395" t="s">
        <v>387</v>
      </c>
      <c r="F395" t="s">
        <v>384</v>
      </c>
      <c r="AQ395">
        <v>32053.279999999999</v>
      </c>
      <c r="AR395">
        <v>13737.12</v>
      </c>
    </row>
    <row r="396" spans="1:48" x14ac:dyDescent="0.3">
      <c r="A396" t="s">
        <v>19</v>
      </c>
      <c r="B396" t="s">
        <v>202</v>
      </c>
      <c r="C396" t="s">
        <v>161</v>
      </c>
      <c r="D396" t="s">
        <v>64</v>
      </c>
      <c r="E396" t="s">
        <v>387</v>
      </c>
      <c r="F396" t="s">
        <v>385</v>
      </c>
    </row>
    <row r="397" spans="1:48" x14ac:dyDescent="0.3">
      <c r="A397" t="s">
        <v>19</v>
      </c>
      <c r="B397" t="s">
        <v>202</v>
      </c>
      <c r="C397" t="s">
        <v>161</v>
      </c>
      <c r="D397" t="s">
        <v>64</v>
      </c>
      <c r="E397" t="s">
        <v>387</v>
      </c>
      <c r="F397" t="s">
        <v>386</v>
      </c>
      <c r="AQ397">
        <v>32053.279999999999</v>
      </c>
      <c r="AR397">
        <v>13737.12</v>
      </c>
    </row>
    <row r="398" spans="1:48" x14ac:dyDescent="0.3">
      <c r="A398" t="s">
        <v>19</v>
      </c>
      <c r="B398" t="s">
        <v>205</v>
      </c>
      <c r="C398" t="s">
        <v>161</v>
      </c>
      <c r="D398" t="s">
        <v>35</v>
      </c>
      <c r="E398" t="s">
        <v>387</v>
      </c>
      <c r="F398" t="s">
        <v>384</v>
      </c>
      <c r="AR398">
        <v>49314.82</v>
      </c>
      <c r="AS398">
        <v>345203.75</v>
      </c>
      <c r="AT398">
        <v>345203.75</v>
      </c>
      <c r="AU398">
        <v>345203.75</v>
      </c>
      <c r="AV398">
        <v>295888.93</v>
      </c>
    </row>
    <row r="399" spans="1:48" x14ac:dyDescent="0.3">
      <c r="A399" t="s">
        <v>19</v>
      </c>
      <c r="B399" t="s">
        <v>205</v>
      </c>
      <c r="C399" t="s">
        <v>161</v>
      </c>
      <c r="D399" t="s">
        <v>35</v>
      </c>
      <c r="E399" t="s">
        <v>387</v>
      </c>
      <c r="F399" t="s">
        <v>385</v>
      </c>
    </row>
    <row r="400" spans="1:48" x14ac:dyDescent="0.3">
      <c r="A400" t="s">
        <v>19</v>
      </c>
      <c r="B400" t="s">
        <v>205</v>
      </c>
      <c r="C400" t="s">
        <v>161</v>
      </c>
      <c r="D400" t="s">
        <v>35</v>
      </c>
      <c r="E400" t="s">
        <v>387</v>
      </c>
      <c r="F400" t="s">
        <v>386</v>
      </c>
      <c r="AR400">
        <v>49314.82</v>
      </c>
      <c r="AS400">
        <v>345203.75</v>
      </c>
      <c r="AT400">
        <v>345203.75</v>
      </c>
      <c r="AU400">
        <v>345203.75</v>
      </c>
      <c r="AV400">
        <v>295888.93</v>
      </c>
    </row>
    <row r="401" spans="1:42" x14ac:dyDescent="0.3">
      <c r="A401" t="s">
        <v>19</v>
      </c>
      <c r="B401" t="s">
        <v>212</v>
      </c>
      <c r="C401" t="s">
        <v>161</v>
      </c>
      <c r="D401" t="s">
        <v>40</v>
      </c>
      <c r="E401" t="s">
        <v>387</v>
      </c>
      <c r="F401" t="s">
        <v>384</v>
      </c>
      <c r="M401">
        <v>272089.59000000003</v>
      </c>
      <c r="N401">
        <v>317437.86</v>
      </c>
      <c r="O401">
        <v>317437.86</v>
      </c>
    </row>
    <row r="402" spans="1:42" x14ac:dyDescent="0.3">
      <c r="A402" t="s">
        <v>19</v>
      </c>
      <c r="B402" t="s">
        <v>212</v>
      </c>
      <c r="C402" t="s">
        <v>161</v>
      </c>
      <c r="D402" t="s">
        <v>40</v>
      </c>
      <c r="E402" t="s">
        <v>387</v>
      </c>
      <c r="F402" t="s">
        <v>385</v>
      </c>
      <c r="M402">
        <v>272089.59000000003</v>
      </c>
      <c r="N402">
        <v>317437.86</v>
      </c>
      <c r="O402">
        <v>317437.86</v>
      </c>
    </row>
    <row r="403" spans="1:42" x14ac:dyDescent="0.3">
      <c r="A403" t="s">
        <v>19</v>
      </c>
      <c r="B403" t="s">
        <v>212</v>
      </c>
      <c r="C403" t="s">
        <v>161</v>
      </c>
      <c r="D403" t="s">
        <v>40</v>
      </c>
      <c r="E403" t="s">
        <v>387</v>
      </c>
      <c r="F403" t="s">
        <v>386</v>
      </c>
    </row>
    <row r="404" spans="1:42" x14ac:dyDescent="0.3">
      <c r="A404" t="s">
        <v>19</v>
      </c>
      <c r="B404" t="s">
        <v>215</v>
      </c>
      <c r="C404" t="s">
        <v>161</v>
      </c>
      <c r="D404" t="s">
        <v>40</v>
      </c>
      <c r="E404" t="s">
        <v>387</v>
      </c>
      <c r="F404" t="s">
        <v>384</v>
      </c>
      <c r="AG404">
        <v>82193.73</v>
      </c>
      <c r="AH404">
        <v>575356.11</v>
      </c>
      <c r="AI404">
        <v>164387.46</v>
      </c>
    </row>
    <row r="405" spans="1:42" x14ac:dyDescent="0.3">
      <c r="A405" t="s">
        <v>19</v>
      </c>
      <c r="B405" t="s">
        <v>215</v>
      </c>
      <c r="C405" t="s">
        <v>161</v>
      </c>
      <c r="D405" t="s">
        <v>40</v>
      </c>
      <c r="E405" t="s">
        <v>387</v>
      </c>
      <c r="F405" t="s">
        <v>385</v>
      </c>
      <c r="AG405">
        <v>82193.73</v>
      </c>
      <c r="AH405">
        <v>575356.11</v>
      </c>
      <c r="AI405">
        <v>164387.46</v>
      </c>
    </row>
    <row r="406" spans="1:42" x14ac:dyDescent="0.3">
      <c r="A406" t="s">
        <v>19</v>
      </c>
      <c r="B406" t="s">
        <v>215</v>
      </c>
      <c r="C406" t="s">
        <v>161</v>
      </c>
      <c r="D406" t="s">
        <v>40</v>
      </c>
      <c r="E406" t="s">
        <v>387</v>
      </c>
      <c r="F406" t="s">
        <v>386</v>
      </c>
    </row>
    <row r="407" spans="1:42" x14ac:dyDescent="0.3">
      <c r="A407" t="s">
        <v>19</v>
      </c>
      <c r="B407" t="s">
        <v>217</v>
      </c>
      <c r="C407" t="s">
        <v>161</v>
      </c>
      <c r="D407" t="s">
        <v>40</v>
      </c>
      <c r="E407" t="s">
        <v>387</v>
      </c>
      <c r="F407" t="s">
        <v>384</v>
      </c>
      <c r="P407">
        <v>59519.6</v>
      </c>
      <c r="Q407">
        <v>59519.6</v>
      </c>
      <c r="R407">
        <v>17005.599999999999</v>
      </c>
    </row>
    <row r="408" spans="1:42" x14ac:dyDescent="0.3">
      <c r="A408" t="s">
        <v>19</v>
      </c>
      <c r="B408" t="s">
        <v>217</v>
      </c>
      <c r="C408" t="s">
        <v>161</v>
      </c>
      <c r="D408" t="s">
        <v>40</v>
      </c>
      <c r="E408" t="s">
        <v>387</v>
      </c>
      <c r="F408" t="s">
        <v>385</v>
      </c>
      <c r="P408">
        <v>59519.6</v>
      </c>
      <c r="Q408">
        <v>59519.6</v>
      </c>
      <c r="R408">
        <v>17005.599999999999</v>
      </c>
    </row>
    <row r="409" spans="1:42" x14ac:dyDescent="0.3">
      <c r="A409" t="s">
        <v>19</v>
      </c>
      <c r="B409" t="s">
        <v>217</v>
      </c>
      <c r="C409" t="s">
        <v>161</v>
      </c>
      <c r="D409" t="s">
        <v>40</v>
      </c>
      <c r="E409" t="s">
        <v>387</v>
      </c>
      <c r="F409" t="s">
        <v>386</v>
      </c>
    </row>
    <row r="410" spans="1:42" x14ac:dyDescent="0.3">
      <c r="A410" t="s">
        <v>19</v>
      </c>
      <c r="B410" t="s">
        <v>219</v>
      </c>
      <c r="C410" t="s">
        <v>161</v>
      </c>
      <c r="D410" t="s">
        <v>40</v>
      </c>
      <c r="E410" t="s">
        <v>387</v>
      </c>
      <c r="F410" t="s">
        <v>384</v>
      </c>
      <c r="R410">
        <v>67313.83</v>
      </c>
      <c r="S410">
        <v>471196.8</v>
      </c>
      <c r="T410">
        <v>471196.8</v>
      </c>
      <c r="U410">
        <v>336569.15</v>
      </c>
      <c r="W410">
        <v>67313.83</v>
      </c>
      <c r="X410">
        <v>201941.49</v>
      </c>
    </row>
    <row r="411" spans="1:42" x14ac:dyDescent="0.3">
      <c r="A411" t="s">
        <v>19</v>
      </c>
      <c r="B411" t="s">
        <v>219</v>
      </c>
      <c r="C411" t="s">
        <v>161</v>
      </c>
      <c r="D411" t="s">
        <v>40</v>
      </c>
      <c r="E411" t="s">
        <v>387</v>
      </c>
      <c r="F411" t="s">
        <v>385</v>
      </c>
      <c r="R411">
        <v>59834.51</v>
      </c>
      <c r="S411">
        <v>418841.59999999998</v>
      </c>
      <c r="T411">
        <v>418841.59999999998</v>
      </c>
      <c r="U411">
        <v>299172.57</v>
      </c>
      <c r="W411">
        <v>59834.51</v>
      </c>
      <c r="X411">
        <v>359007.09</v>
      </c>
    </row>
    <row r="412" spans="1:42" x14ac:dyDescent="0.3">
      <c r="A412" t="s">
        <v>19</v>
      </c>
      <c r="B412" t="s">
        <v>219</v>
      </c>
      <c r="C412" t="s">
        <v>161</v>
      </c>
      <c r="D412" t="s">
        <v>40</v>
      </c>
      <c r="E412" t="s">
        <v>387</v>
      </c>
      <c r="F412" t="s">
        <v>386</v>
      </c>
    </row>
    <row r="413" spans="1:42" x14ac:dyDescent="0.3">
      <c r="A413" t="s">
        <v>19</v>
      </c>
      <c r="B413" t="s">
        <v>221</v>
      </c>
      <c r="C413" t="s">
        <v>161</v>
      </c>
      <c r="D413" t="s">
        <v>40</v>
      </c>
      <c r="E413" t="s">
        <v>387</v>
      </c>
      <c r="F413" t="s">
        <v>384</v>
      </c>
      <c r="X413">
        <v>98738.76</v>
      </c>
      <c r="Y413">
        <v>691171.33</v>
      </c>
      <c r="Z413">
        <v>691171.33</v>
      </c>
      <c r="AA413">
        <v>296216.28000000003</v>
      </c>
    </row>
    <row r="414" spans="1:42" x14ac:dyDescent="0.3">
      <c r="A414" t="s">
        <v>19</v>
      </c>
      <c r="B414" t="s">
        <v>221</v>
      </c>
      <c r="C414" t="s">
        <v>161</v>
      </c>
      <c r="D414" t="s">
        <v>40</v>
      </c>
      <c r="E414" t="s">
        <v>387</v>
      </c>
      <c r="F414" t="s">
        <v>385</v>
      </c>
      <c r="X414">
        <v>71091.91</v>
      </c>
      <c r="Y414">
        <v>497643.36</v>
      </c>
      <c r="Z414">
        <v>497643.36</v>
      </c>
      <c r="AA414">
        <v>497643.36</v>
      </c>
      <c r="AB414">
        <v>213275.72</v>
      </c>
    </row>
    <row r="415" spans="1:42" x14ac:dyDescent="0.3">
      <c r="A415" t="s">
        <v>19</v>
      </c>
      <c r="B415" t="s">
        <v>221</v>
      </c>
      <c r="C415" t="s">
        <v>161</v>
      </c>
      <c r="D415" t="s">
        <v>40</v>
      </c>
      <c r="E415" t="s">
        <v>387</v>
      </c>
      <c r="F415" t="s">
        <v>386</v>
      </c>
    </row>
    <row r="416" spans="1:42" x14ac:dyDescent="0.3">
      <c r="A416" t="s">
        <v>19</v>
      </c>
      <c r="B416" t="s">
        <v>223</v>
      </c>
      <c r="C416" t="s">
        <v>161</v>
      </c>
      <c r="D416" t="s">
        <v>40</v>
      </c>
      <c r="E416" t="s">
        <v>387</v>
      </c>
      <c r="F416" t="s">
        <v>384</v>
      </c>
      <c r="AM416">
        <v>321135.27</v>
      </c>
      <c r="AN416">
        <v>749315.64</v>
      </c>
      <c r="AO416">
        <v>749315.64</v>
      </c>
      <c r="AP416">
        <v>535225.44999999995</v>
      </c>
    </row>
    <row r="417" spans="1:47" x14ac:dyDescent="0.3">
      <c r="A417" t="s">
        <v>19</v>
      </c>
      <c r="B417" t="s">
        <v>223</v>
      </c>
      <c r="C417" t="s">
        <v>161</v>
      </c>
      <c r="D417" t="s">
        <v>40</v>
      </c>
      <c r="E417" t="s">
        <v>387</v>
      </c>
      <c r="F417" t="s">
        <v>385</v>
      </c>
      <c r="AM417">
        <v>470998.4</v>
      </c>
      <c r="AN417">
        <v>1098996.27</v>
      </c>
      <c r="AO417">
        <v>784997.33</v>
      </c>
    </row>
    <row r="418" spans="1:47" x14ac:dyDescent="0.3">
      <c r="A418" t="s">
        <v>19</v>
      </c>
      <c r="B418" t="s">
        <v>223</v>
      </c>
      <c r="C418" t="s">
        <v>161</v>
      </c>
      <c r="D418" t="s">
        <v>40</v>
      </c>
      <c r="E418" t="s">
        <v>387</v>
      </c>
      <c r="F418" t="s">
        <v>386</v>
      </c>
    </row>
    <row r="419" spans="1:47" x14ac:dyDescent="0.3">
      <c r="A419" t="s">
        <v>19</v>
      </c>
      <c r="B419" t="s">
        <v>225</v>
      </c>
      <c r="C419" t="s">
        <v>161</v>
      </c>
      <c r="D419" t="s">
        <v>40</v>
      </c>
      <c r="E419" t="s">
        <v>387</v>
      </c>
      <c r="F419" t="s">
        <v>384</v>
      </c>
      <c r="AO419">
        <v>73094.240000000005</v>
      </c>
      <c r="AP419">
        <v>255829.85</v>
      </c>
      <c r="AQ419">
        <v>255829.85</v>
      </c>
      <c r="AR419">
        <v>109641.36</v>
      </c>
    </row>
    <row r="420" spans="1:47" x14ac:dyDescent="0.3">
      <c r="A420" t="s">
        <v>19</v>
      </c>
      <c r="B420" t="s">
        <v>225</v>
      </c>
      <c r="C420" t="s">
        <v>161</v>
      </c>
      <c r="D420" t="s">
        <v>40</v>
      </c>
      <c r="E420" t="s">
        <v>387</v>
      </c>
      <c r="F420" t="s">
        <v>385</v>
      </c>
    </row>
    <row r="421" spans="1:47" x14ac:dyDescent="0.3">
      <c r="A421" t="s">
        <v>19</v>
      </c>
      <c r="B421" t="s">
        <v>225</v>
      </c>
      <c r="C421" t="s">
        <v>161</v>
      </c>
      <c r="D421" t="s">
        <v>40</v>
      </c>
      <c r="E421" t="s">
        <v>387</v>
      </c>
      <c r="F421" t="s">
        <v>386</v>
      </c>
      <c r="AO421">
        <v>73094.240000000005</v>
      </c>
      <c r="AP421">
        <v>255829.85</v>
      </c>
      <c r="AQ421">
        <v>255829.85</v>
      </c>
      <c r="AR421">
        <v>109641.36</v>
      </c>
    </row>
    <row r="422" spans="1:47" x14ac:dyDescent="0.3">
      <c r="A422" t="s">
        <v>19</v>
      </c>
      <c r="B422" t="s">
        <v>229</v>
      </c>
      <c r="C422" t="s">
        <v>161</v>
      </c>
      <c r="D422" t="s">
        <v>45</v>
      </c>
      <c r="E422" t="s">
        <v>387</v>
      </c>
      <c r="F422" t="s">
        <v>384</v>
      </c>
      <c r="AI422">
        <v>1349110.85</v>
      </c>
      <c r="AJ422">
        <v>1888755.19</v>
      </c>
      <c r="AK422">
        <v>1888755.19</v>
      </c>
      <c r="AL422">
        <v>1888755.19</v>
      </c>
      <c r="AM422">
        <v>1079288.68</v>
      </c>
    </row>
    <row r="423" spans="1:47" x14ac:dyDescent="0.3">
      <c r="A423" t="s">
        <v>19</v>
      </c>
      <c r="B423" t="s">
        <v>229</v>
      </c>
      <c r="C423" t="s">
        <v>161</v>
      </c>
      <c r="D423" t="s">
        <v>45</v>
      </c>
      <c r="E423" t="s">
        <v>387</v>
      </c>
      <c r="F423" t="s">
        <v>385</v>
      </c>
      <c r="AI423">
        <v>1349110.85</v>
      </c>
      <c r="AJ423">
        <v>1888755.19</v>
      </c>
      <c r="AK423">
        <v>1888755.19</v>
      </c>
      <c r="AL423">
        <v>1888755.19</v>
      </c>
      <c r="AM423">
        <v>1079288.68</v>
      </c>
    </row>
    <row r="424" spans="1:47" x14ac:dyDescent="0.3">
      <c r="A424" t="s">
        <v>19</v>
      </c>
      <c r="B424" t="s">
        <v>229</v>
      </c>
      <c r="C424" t="s">
        <v>161</v>
      </c>
      <c r="D424" t="s">
        <v>45</v>
      </c>
      <c r="E424" t="s">
        <v>387</v>
      </c>
      <c r="F424" t="s">
        <v>386</v>
      </c>
    </row>
    <row r="425" spans="1:47" x14ac:dyDescent="0.3">
      <c r="A425" t="s">
        <v>19</v>
      </c>
      <c r="B425" t="s">
        <v>232</v>
      </c>
      <c r="C425" t="s">
        <v>161</v>
      </c>
      <c r="D425" t="s">
        <v>31</v>
      </c>
      <c r="E425" t="s">
        <v>387</v>
      </c>
      <c r="F425" t="s">
        <v>384</v>
      </c>
      <c r="AR425">
        <v>1090130.6200000001</v>
      </c>
      <c r="AS425">
        <v>1907728.58</v>
      </c>
      <c r="AT425">
        <v>1907728.58</v>
      </c>
      <c r="AU425">
        <v>1090130.6200000001</v>
      </c>
    </row>
    <row r="426" spans="1:47" x14ac:dyDescent="0.3">
      <c r="A426" t="s">
        <v>19</v>
      </c>
      <c r="B426" t="s">
        <v>232</v>
      </c>
      <c r="C426" t="s">
        <v>161</v>
      </c>
      <c r="D426" t="s">
        <v>31</v>
      </c>
      <c r="E426" t="s">
        <v>387</v>
      </c>
      <c r="F426" t="s">
        <v>385</v>
      </c>
    </row>
    <row r="427" spans="1:47" x14ac:dyDescent="0.3">
      <c r="A427" t="s">
        <v>19</v>
      </c>
      <c r="B427" t="s">
        <v>232</v>
      </c>
      <c r="C427" t="s">
        <v>161</v>
      </c>
      <c r="D427" t="s">
        <v>31</v>
      </c>
      <c r="E427" t="s">
        <v>387</v>
      </c>
      <c r="F427" t="s">
        <v>386</v>
      </c>
      <c r="AR427">
        <v>1090130.6200000001</v>
      </c>
      <c r="AS427">
        <v>1907728.58</v>
      </c>
      <c r="AT427">
        <v>1907728.58</v>
      </c>
      <c r="AU427">
        <v>1090130.6200000001</v>
      </c>
    </row>
    <row r="428" spans="1:47" x14ac:dyDescent="0.3">
      <c r="A428" t="s">
        <v>19</v>
      </c>
      <c r="B428" t="s">
        <v>235</v>
      </c>
      <c r="C428" t="s">
        <v>161</v>
      </c>
      <c r="D428" t="s">
        <v>61</v>
      </c>
      <c r="E428" t="s">
        <v>387</v>
      </c>
      <c r="F428" t="s">
        <v>384</v>
      </c>
      <c r="AQ428">
        <v>45361.87</v>
      </c>
      <c r="AR428">
        <v>22680.93</v>
      </c>
    </row>
    <row r="429" spans="1:47" x14ac:dyDescent="0.3">
      <c r="A429" t="s">
        <v>19</v>
      </c>
      <c r="B429" t="s">
        <v>235</v>
      </c>
      <c r="C429" t="s">
        <v>161</v>
      </c>
      <c r="D429" t="s">
        <v>61</v>
      </c>
      <c r="E429" t="s">
        <v>387</v>
      </c>
      <c r="F429" t="s">
        <v>385</v>
      </c>
    </row>
    <row r="430" spans="1:47" x14ac:dyDescent="0.3">
      <c r="A430" t="s">
        <v>19</v>
      </c>
      <c r="B430" t="s">
        <v>235</v>
      </c>
      <c r="C430" t="s">
        <v>161</v>
      </c>
      <c r="D430" t="s">
        <v>61</v>
      </c>
      <c r="E430" t="s">
        <v>387</v>
      </c>
      <c r="F430" t="s">
        <v>386</v>
      </c>
      <c r="AQ430">
        <v>45361.87</v>
      </c>
      <c r="AR430">
        <v>22680.93</v>
      </c>
    </row>
    <row r="431" spans="1:47" x14ac:dyDescent="0.3">
      <c r="A431" t="s">
        <v>19</v>
      </c>
      <c r="B431" t="s">
        <v>240</v>
      </c>
      <c r="C431" t="s">
        <v>161</v>
      </c>
      <c r="D431" t="s">
        <v>64</v>
      </c>
      <c r="E431" t="s">
        <v>387</v>
      </c>
      <c r="F431" t="s">
        <v>384</v>
      </c>
      <c r="AR431">
        <v>18316.16</v>
      </c>
      <c r="AS431">
        <v>27474.240000000002</v>
      </c>
    </row>
    <row r="432" spans="1:47" x14ac:dyDescent="0.3">
      <c r="A432" t="s">
        <v>19</v>
      </c>
      <c r="B432" t="s">
        <v>240</v>
      </c>
      <c r="C432" t="s">
        <v>161</v>
      </c>
      <c r="D432" t="s">
        <v>64</v>
      </c>
      <c r="E432" t="s">
        <v>387</v>
      </c>
      <c r="F432" t="s">
        <v>385</v>
      </c>
    </row>
    <row r="433" spans="1:51" x14ac:dyDescent="0.3">
      <c r="A433" t="s">
        <v>19</v>
      </c>
      <c r="B433" t="s">
        <v>240</v>
      </c>
      <c r="C433" t="s">
        <v>161</v>
      </c>
      <c r="D433" t="s">
        <v>64</v>
      </c>
      <c r="E433" t="s">
        <v>387</v>
      </c>
      <c r="F433" t="s">
        <v>386</v>
      </c>
      <c r="AR433">
        <v>18316.16</v>
      </c>
      <c r="AS433">
        <v>27474.240000000002</v>
      </c>
    </row>
    <row r="434" spans="1:51" x14ac:dyDescent="0.3">
      <c r="A434" t="s">
        <v>19</v>
      </c>
      <c r="B434" t="s">
        <v>242</v>
      </c>
      <c r="C434" t="s">
        <v>161</v>
      </c>
      <c r="D434" t="s">
        <v>35</v>
      </c>
      <c r="E434" t="s">
        <v>387</v>
      </c>
      <c r="F434" t="s">
        <v>384</v>
      </c>
      <c r="AU434">
        <v>147944.46</v>
      </c>
      <c r="AV434">
        <v>345203.75</v>
      </c>
      <c r="AW434">
        <v>345203.75</v>
      </c>
      <c r="AX434">
        <v>345203.75</v>
      </c>
      <c r="AY434">
        <v>197259.29</v>
      </c>
    </row>
    <row r="435" spans="1:51" x14ac:dyDescent="0.3">
      <c r="A435" t="s">
        <v>19</v>
      </c>
      <c r="B435" t="s">
        <v>242</v>
      </c>
      <c r="C435" t="s">
        <v>161</v>
      </c>
      <c r="D435" t="s">
        <v>35</v>
      </c>
      <c r="E435" t="s">
        <v>387</v>
      </c>
      <c r="F435" t="s">
        <v>385</v>
      </c>
    </row>
    <row r="436" spans="1:51" x14ac:dyDescent="0.3">
      <c r="A436" t="s">
        <v>19</v>
      </c>
      <c r="B436" t="s">
        <v>242</v>
      </c>
      <c r="C436" t="s">
        <v>161</v>
      </c>
      <c r="D436" t="s">
        <v>35</v>
      </c>
      <c r="E436" t="s">
        <v>387</v>
      </c>
      <c r="F436" t="s">
        <v>386</v>
      </c>
      <c r="AU436">
        <v>147944.46</v>
      </c>
      <c r="AV436">
        <v>345203.75</v>
      </c>
      <c r="AW436">
        <v>345203.75</v>
      </c>
      <c r="AX436">
        <v>345203.75</v>
      </c>
      <c r="AY436">
        <v>197259.29</v>
      </c>
    </row>
    <row r="437" spans="1:51" x14ac:dyDescent="0.3">
      <c r="A437" t="s">
        <v>19</v>
      </c>
      <c r="B437" t="s">
        <v>245</v>
      </c>
      <c r="C437" t="s">
        <v>161</v>
      </c>
      <c r="D437" t="s">
        <v>40</v>
      </c>
      <c r="E437" t="s">
        <v>387</v>
      </c>
      <c r="F437" t="s">
        <v>384</v>
      </c>
      <c r="P437">
        <v>317437.86</v>
      </c>
      <c r="Q437">
        <v>317437.86</v>
      </c>
      <c r="R437">
        <v>272089.59000000003</v>
      </c>
    </row>
    <row r="438" spans="1:51" x14ac:dyDescent="0.3">
      <c r="A438" t="s">
        <v>19</v>
      </c>
      <c r="B438" t="s">
        <v>245</v>
      </c>
      <c r="C438" t="s">
        <v>161</v>
      </c>
      <c r="D438" t="s">
        <v>40</v>
      </c>
      <c r="E438" t="s">
        <v>387</v>
      </c>
      <c r="F438" t="s">
        <v>385</v>
      </c>
      <c r="P438">
        <v>317437.86</v>
      </c>
      <c r="Q438">
        <v>317437.86</v>
      </c>
      <c r="R438">
        <v>272089.59000000003</v>
      </c>
    </row>
    <row r="439" spans="1:51" x14ac:dyDescent="0.3">
      <c r="A439" t="s">
        <v>19</v>
      </c>
      <c r="B439" t="s">
        <v>245</v>
      </c>
      <c r="C439" t="s">
        <v>161</v>
      </c>
      <c r="D439" t="s">
        <v>40</v>
      </c>
      <c r="E439" t="s">
        <v>387</v>
      </c>
      <c r="F439" t="s">
        <v>386</v>
      </c>
    </row>
    <row r="440" spans="1:51" x14ac:dyDescent="0.3">
      <c r="A440" t="s">
        <v>19</v>
      </c>
      <c r="B440" t="s">
        <v>248</v>
      </c>
      <c r="C440" t="s">
        <v>161</v>
      </c>
      <c r="D440" t="s">
        <v>40</v>
      </c>
      <c r="E440" t="s">
        <v>387</v>
      </c>
      <c r="F440" t="s">
        <v>384</v>
      </c>
      <c r="AD440">
        <v>82193.73</v>
      </c>
      <c r="AE440">
        <v>493162.38</v>
      </c>
      <c r="AG440">
        <v>82193.73</v>
      </c>
      <c r="AH440">
        <v>164387.46</v>
      </c>
    </row>
    <row r="441" spans="1:51" x14ac:dyDescent="0.3">
      <c r="A441" t="s">
        <v>19</v>
      </c>
      <c r="B441" t="s">
        <v>248</v>
      </c>
      <c r="C441" t="s">
        <v>161</v>
      </c>
      <c r="D441" t="s">
        <v>40</v>
      </c>
      <c r="E441" t="s">
        <v>387</v>
      </c>
      <c r="F441" t="s">
        <v>385</v>
      </c>
      <c r="AD441">
        <v>117419.61</v>
      </c>
      <c r="AE441">
        <v>704517.69</v>
      </c>
    </row>
    <row r="442" spans="1:51" x14ac:dyDescent="0.3">
      <c r="A442" t="s">
        <v>19</v>
      </c>
      <c r="B442" t="s">
        <v>248</v>
      </c>
      <c r="C442" t="s">
        <v>161</v>
      </c>
      <c r="D442" t="s">
        <v>40</v>
      </c>
      <c r="E442" t="s">
        <v>387</v>
      </c>
      <c r="F442" t="s">
        <v>386</v>
      </c>
    </row>
    <row r="443" spans="1:51" x14ac:dyDescent="0.3">
      <c r="A443" t="s">
        <v>19</v>
      </c>
      <c r="B443" t="s">
        <v>250</v>
      </c>
      <c r="C443" t="s">
        <v>161</v>
      </c>
      <c r="D443" t="s">
        <v>40</v>
      </c>
      <c r="E443" t="s">
        <v>387</v>
      </c>
      <c r="F443" t="s">
        <v>384</v>
      </c>
      <c r="R443">
        <v>8502.7999999999993</v>
      </c>
      <c r="S443">
        <v>59519.6</v>
      </c>
      <c r="T443">
        <v>59519.6</v>
      </c>
      <c r="U443">
        <v>8502.7999999999993</v>
      </c>
    </row>
    <row r="444" spans="1:51" x14ac:dyDescent="0.3">
      <c r="A444" t="s">
        <v>19</v>
      </c>
      <c r="B444" t="s">
        <v>250</v>
      </c>
      <c r="C444" t="s">
        <v>161</v>
      </c>
      <c r="D444" t="s">
        <v>40</v>
      </c>
      <c r="E444" t="s">
        <v>387</v>
      </c>
      <c r="F444" t="s">
        <v>385</v>
      </c>
      <c r="R444">
        <v>8502.7999999999993</v>
      </c>
      <c r="S444">
        <v>59519.6</v>
      </c>
      <c r="T444">
        <v>59519.6</v>
      </c>
      <c r="U444">
        <v>8502.7999999999993</v>
      </c>
    </row>
    <row r="445" spans="1:51" x14ac:dyDescent="0.3">
      <c r="A445" t="s">
        <v>19</v>
      </c>
      <c r="B445" t="s">
        <v>250</v>
      </c>
      <c r="C445" t="s">
        <v>161</v>
      </c>
      <c r="D445" t="s">
        <v>40</v>
      </c>
      <c r="E445" t="s">
        <v>387</v>
      </c>
      <c r="F445" t="s">
        <v>386</v>
      </c>
    </row>
    <row r="446" spans="1:51" x14ac:dyDescent="0.3">
      <c r="A446" t="s">
        <v>19</v>
      </c>
      <c r="B446" t="s">
        <v>252</v>
      </c>
      <c r="C446" t="s">
        <v>161</v>
      </c>
      <c r="D446" t="s">
        <v>40</v>
      </c>
      <c r="E446" t="s">
        <v>387</v>
      </c>
      <c r="F446" t="s">
        <v>384</v>
      </c>
      <c r="X446">
        <v>67313.83</v>
      </c>
      <c r="Y446">
        <v>471196.8</v>
      </c>
      <c r="Z446">
        <v>471196.8</v>
      </c>
      <c r="AA446">
        <v>471196.8</v>
      </c>
      <c r="AB446">
        <v>134627.66</v>
      </c>
    </row>
    <row r="447" spans="1:51" x14ac:dyDescent="0.3">
      <c r="A447" t="s">
        <v>19</v>
      </c>
      <c r="B447" t="s">
        <v>252</v>
      </c>
      <c r="C447" t="s">
        <v>161</v>
      </c>
      <c r="D447" t="s">
        <v>40</v>
      </c>
      <c r="E447" t="s">
        <v>387</v>
      </c>
      <c r="F447" t="s">
        <v>385</v>
      </c>
      <c r="X447">
        <v>67313.83</v>
      </c>
      <c r="Y447">
        <v>471196.8</v>
      </c>
      <c r="Z447">
        <v>471196.8</v>
      </c>
      <c r="AA447">
        <v>471196.8</v>
      </c>
      <c r="AB447">
        <v>134627.66</v>
      </c>
    </row>
    <row r="448" spans="1:51" x14ac:dyDescent="0.3">
      <c r="A448" t="s">
        <v>19</v>
      </c>
      <c r="B448" t="s">
        <v>252</v>
      </c>
      <c r="C448" t="s">
        <v>161</v>
      </c>
      <c r="D448" t="s">
        <v>40</v>
      </c>
      <c r="E448" t="s">
        <v>387</v>
      </c>
      <c r="F448" t="s">
        <v>386</v>
      </c>
    </row>
    <row r="449" spans="1:54" x14ac:dyDescent="0.3">
      <c r="A449" t="s">
        <v>19</v>
      </c>
      <c r="B449" t="s">
        <v>254</v>
      </c>
      <c r="C449" t="s">
        <v>161</v>
      </c>
      <c r="D449" t="s">
        <v>40</v>
      </c>
      <c r="E449" t="s">
        <v>387</v>
      </c>
      <c r="F449" t="s">
        <v>384</v>
      </c>
      <c r="AB449">
        <v>493693.81</v>
      </c>
      <c r="AC449">
        <v>691171.33</v>
      </c>
      <c r="AD449">
        <v>592432.56999999995</v>
      </c>
    </row>
    <row r="450" spans="1:54" x14ac:dyDescent="0.3">
      <c r="A450" t="s">
        <v>19</v>
      </c>
      <c r="B450" t="s">
        <v>254</v>
      </c>
      <c r="C450" t="s">
        <v>161</v>
      </c>
      <c r="D450" t="s">
        <v>40</v>
      </c>
      <c r="E450" t="s">
        <v>387</v>
      </c>
      <c r="F450" t="s">
        <v>385</v>
      </c>
      <c r="AB450">
        <v>418187.69</v>
      </c>
      <c r="AC450">
        <v>731828.46</v>
      </c>
      <c r="AD450">
        <v>627281.54</v>
      </c>
    </row>
    <row r="451" spans="1:54" x14ac:dyDescent="0.3">
      <c r="A451" t="s">
        <v>19</v>
      </c>
      <c r="B451" t="s">
        <v>254</v>
      </c>
      <c r="C451" t="s">
        <v>161</v>
      </c>
      <c r="D451" t="s">
        <v>40</v>
      </c>
      <c r="E451" t="s">
        <v>387</v>
      </c>
      <c r="F451" t="s">
        <v>386</v>
      </c>
    </row>
    <row r="452" spans="1:54" x14ac:dyDescent="0.3">
      <c r="A452" t="s">
        <v>19</v>
      </c>
      <c r="B452" t="s">
        <v>256</v>
      </c>
      <c r="C452" t="s">
        <v>161</v>
      </c>
      <c r="D452" t="s">
        <v>40</v>
      </c>
      <c r="E452" t="s">
        <v>387</v>
      </c>
      <c r="F452" t="s">
        <v>384</v>
      </c>
      <c r="AS452">
        <v>535225.44999999995</v>
      </c>
      <c r="AT452">
        <v>749315.64</v>
      </c>
      <c r="AU452">
        <v>749315.64</v>
      </c>
      <c r="AV452">
        <v>321135.27</v>
      </c>
    </row>
    <row r="453" spans="1:54" x14ac:dyDescent="0.3">
      <c r="A453" t="s">
        <v>19</v>
      </c>
      <c r="B453" t="s">
        <v>256</v>
      </c>
      <c r="C453" t="s">
        <v>161</v>
      </c>
      <c r="D453" t="s">
        <v>40</v>
      </c>
      <c r="E453" t="s">
        <v>387</v>
      </c>
      <c r="F453" t="s">
        <v>385</v>
      </c>
    </row>
    <row r="454" spans="1:54" x14ac:dyDescent="0.3">
      <c r="A454" t="s">
        <v>19</v>
      </c>
      <c r="B454" t="s">
        <v>256</v>
      </c>
      <c r="C454" t="s">
        <v>161</v>
      </c>
      <c r="D454" t="s">
        <v>40</v>
      </c>
      <c r="E454" t="s">
        <v>387</v>
      </c>
      <c r="F454" t="s">
        <v>386</v>
      </c>
      <c r="AS454">
        <v>535225.44999999995</v>
      </c>
      <c r="AT454">
        <v>749315.64</v>
      </c>
      <c r="AU454">
        <v>749315.64</v>
      </c>
      <c r="AV454">
        <v>321135.27</v>
      </c>
    </row>
    <row r="455" spans="1:54" x14ac:dyDescent="0.3">
      <c r="A455" t="s">
        <v>19</v>
      </c>
      <c r="B455" t="s">
        <v>260</v>
      </c>
      <c r="C455" t="s">
        <v>161</v>
      </c>
      <c r="D455" t="s">
        <v>40</v>
      </c>
      <c r="E455" t="s">
        <v>387</v>
      </c>
      <c r="F455" t="s">
        <v>384</v>
      </c>
      <c r="AV455">
        <v>146188.48000000001</v>
      </c>
      <c r="AW455">
        <v>255829.85</v>
      </c>
      <c r="AX455">
        <v>255829.85</v>
      </c>
      <c r="AY455">
        <v>36547.120000000003</v>
      </c>
    </row>
    <row r="456" spans="1:54" x14ac:dyDescent="0.3">
      <c r="A456" t="s">
        <v>19</v>
      </c>
      <c r="B456" t="s">
        <v>260</v>
      </c>
      <c r="C456" t="s">
        <v>161</v>
      </c>
      <c r="D456" t="s">
        <v>40</v>
      </c>
      <c r="E456" t="s">
        <v>387</v>
      </c>
      <c r="F456" t="s">
        <v>385</v>
      </c>
    </row>
    <row r="457" spans="1:54" x14ac:dyDescent="0.3">
      <c r="A457" t="s">
        <v>19</v>
      </c>
      <c r="B457" t="s">
        <v>260</v>
      </c>
      <c r="C457" t="s">
        <v>161</v>
      </c>
      <c r="D457" t="s">
        <v>40</v>
      </c>
      <c r="E457" t="s">
        <v>387</v>
      </c>
      <c r="F457" t="s">
        <v>386</v>
      </c>
      <c r="AV457">
        <v>146188.48000000001</v>
      </c>
      <c r="AW457">
        <v>255829.85</v>
      </c>
      <c r="AX457">
        <v>255829.85</v>
      </c>
      <c r="AY457">
        <v>36547.120000000003</v>
      </c>
    </row>
    <row r="458" spans="1:54" x14ac:dyDescent="0.3">
      <c r="A458" t="s">
        <v>19</v>
      </c>
      <c r="B458" t="s">
        <v>262</v>
      </c>
      <c r="C458" t="s">
        <v>161</v>
      </c>
      <c r="D458" t="s">
        <v>45</v>
      </c>
      <c r="E458" t="s">
        <v>387</v>
      </c>
      <c r="F458" t="s">
        <v>384</v>
      </c>
      <c r="AM458">
        <v>809466.51</v>
      </c>
      <c r="AN458">
        <v>1888755.19</v>
      </c>
      <c r="AO458">
        <v>1888755.19</v>
      </c>
      <c r="AP458">
        <v>1888755.19</v>
      </c>
      <c r="AQ458">
        <v>1618933.02</v>
      </c>
    </row>
    <row r="459" spans="1:54" x14ac:dyDescent="0.3">
      <c r="A459" t="s">
        <v>19</v>
      </c>
      <c r="B459" t="s">
        <v>262</v>
      </c>
      <c r="C459" t="s">
        <v>161</v>
      </c>
      <c r="D459" t="s">
        <v>45</v>
      </c>
      <c r="E459" t="s">
        <v>387</v>
      </c>
      <c r="F459" t="s">
        <v>385</v>
      </c>
      <c r="AO459">
        <v>1618933.02</v>
      </c>
    </row>
    <row r="460" spans="1:54" x14ac:dyDescent="0.3">
      <c r="A460" t="s">
        <v>19</v>
      </c>
      <c r="B460" t="s">
        <v>262</v>
      </c>
      <c r="C460" t="s">
        <v>161</v>
      </c>
      <c r="D460" t="s">
        <v>45</v>
      </c>
      <c r="E460" t="s">
        <v>387</v>
      </c>
      <c r="F460" t="s">
        <v>386</v>
      </c>
      <c r="AO460">
        <v>6475732.0800000001</v>
      </c>
    </row>
    <row r="461" spans="1:54" x14ac:dyDescent="0.3">
      <c r="A461" t="s">
        <v>19</v>
      </c>
      <c r="B461" t="s">
        <v>267</v>
      </c>
      <c r="C461" t="s">
        <v>161</v>
      </c>
      <c r="D461" t="s">
        <v>31</v>
      </c>
      <c r="E461" t="s">
        <v>387</v>
      </c>
      <c r="F461" t="s">
        <v>384</v>
      </c>
      <c r="AY461">
        <v>1635195.93</v>
      </c>
      <c r="AZ461">
        <v>1907728.58</v>
      </c>
      <c r="BA461">
        <v>1907728.58</v>
      </c>
      <c r="BB461">
        <v>545065.31000000006</v>
      </c>
    </row>
    <row r="462" spans="1:54" x14ac:dyDescent="0.3">
      <c r="A462" t="s">
        <v>19</v>
      </c>
      <c r="B462" t="s">
        <v>267</v>
      </c>
      <c r="C462" t="s">
        <v>161</v>
      </c>
      <c r="D462" t="s">
        <v>31</v>
      </c>
      <c r="E462" t="s">
        <v>387</v>
      </c>
      <c r="F462" t="s">
        <v>385</v>
      </c>
    </row>
    <row r="463" spans="1:54" x14ac:dyDescent="0.3">
      <c r="A463" t="s">
        <v>19</v>
      </c>
      <c r="B463" t="s">
        <v>267</v>
      </c>
      <c r="C463" t="s">
        <v>161</v>
      </c>
      <c r="D463" t="s">
        <v>31</v>
      </c>
      <c r="E463" t="s">
        <v>387</v>
      </c>
      <c r="F463" t="s">
        <v>386</v>
      </c>
      <c r="AY463">
        <v>1635195.93</v>
      </c>
      <c r="AZ463">
        <v>1907728.58</v>
      </c>
      <c r="BA463">
        <v>1907728.58</v>
      </c>
      <c r="BB463">
        <v>545065.31000000006</v>
      </c>
    </row>
    <row r="464" spans="1:54" x14ac:dyDescent="0.3">
      <c r="A464" t="s">
        <v>19</v>
      </c>
      <c r="B464" t="s">
        <v>270</v>
      </c>
      <c r="C464" t="s">
        <v>161</v>
      </c>
      <c r="D464" t="s">
        <v>61</v>
      </c>
      <c r="E464" t="s">
        <v>387</v>
      </c>
      <c r="F464" t="s">
        <v>384</v>
      </c>
      <c r="AW464">
        <v>7560.31</v>
      </c>
      <c r="AX464">
        <v>52922.18</v>
      </c>
      <c r="AY464">
        <v>7560.31</v>
      </c>
    </row>
    <row r="465" spans="1:58" x14ac:dyDescent="0.3">
      <c r="A465" t="s">
        <v>19</v>
      </c>
      <c r="B465" t="s">
        <v>270</v>
      </c>
      <c r="C465" t="s">
        <v>161</v>
      </c>
      <c r="D465" t="s">
        <v>61</v>
      </c>
      <c r="E465" t="s">
        <v>387</v>
      </c>
      <c r="F465" t="s">
        <v>385</v>
      </c>
    </row>
    <row r="466" spans="1:58" x14ac:dyDescent="0.3">
      <c r="A466" t="s">
        <v>19</v>
      </c>
      <c r="B466" t="s">
        <v>270</v>
      </c>
      <c r="C466" t="s">
        <v>161</v>
      </c>
      <c r="D466" t="s">
        <v>61</v>
      </c>
      <c r="E466" t="s">
        <v>387</v>
      </c>
      <c r="F466" t="s">
        <v>386</v>
      </c>
      <c r="AW466">
        <v>7560.31</v>
      </c>
      <c r="AX466">
        <v>52922.18</v>
      </c>
      <c r="AY466">
        <v>7560.31</v>
      </c>
    </row>
    <row r="467" spans="1:58" x14ac:dyDescent="0.3">
      <c r="A467" t="s">
        <v>19</v>
      </c>
      <c r="B467" t="s">
        <v>273</v>
      </c>
      <c r="C467" t="s">
        <v>161</v>
      </c>
      <c r="D467" t="s">
        <v>64</v>
      </c>
      <c r="E467" t="s">
        <v>387</v>
      </c>
      <c r="F467" t="s">
        <v>384</v>
      </c>
      <c r="AY467">
        <v>27474.240000000002</v>
      </c>
      <c r="AZ467">
        <v>18316.16</v>
      </c>
    </row>
    <row r="468" spans="1:58" x14ac:dyDescent="0.3">
      <c r="A468" t="s">
        <v>19</v>
      </c>
      <c r="B468" t="s">
        <v>273</v>
      </c>
      <c r="C468" t="s">
        <v>161</v>
      </c>
      <c r="D468" t="s">
        <v>64</v>
      </c>
      <c r="E468" t="s">
        <v>387</v>
      </c>
      <c r="F468" t="s">
        <v>385</v>
      </c>
    </row>
    <row r="469" spans="1:58" x14ac:dyDescent="0.3">
      <c r="A469" t="s">
        <v>19</v>
      </c>
      <c r="B469" t="s">
        <v>273</v>
      </c>
      <c r="C469" t="s">
        <v>161</v>
      </c>
      <c r="D469" t="s">
        <v>64</v>
      </c>
      <c r="E469" t="s">
        <v>387</v>
      </c>
      <c r="F469" t="s">
        <v>386</v>
      </c>
      <c r="AY469">
        <v>27474.240000000002</v>
      </c>
      <c r="AZ469">
        <v>18316.16</v>
      </c>
    </row>
    <row r="470" spans="1:58" x14ac:dyDescent="0.3">
      <c r="A470" t="s">
        <v>19</v>
      </c>
      <c r="B470" t="s">
        <v>275</v>
      </c>
      <c r="C470" t="s">
        <v>161</v>
      </c>
      <c r="D470" t="s">
        <v>35</v>
      </c>
      <c r="E470" t="s">
        <v>387</v>
      </c>
      <c r="F470" t="s">
        <v>384</v>
      </c>
      <c r="BB470">
        <v>246574.11</v>
      </c>
      <c r="BC470">
        <v>345203.75</v>
      </c>
      <c r="BD470">
        <v>345203.75</v>
      </c>
      <c r="BE470">
        <v>345203.75</v>
      </c>
      <c r="BF470">
        <v>98629.64</v>
      </c>
    </row>
    <row r="471" spans="1:58" x14ac:dyDescent="0.3">
      <c r="A471" t="s">
        <v>19</v>
      </c>
      <c r="B471" t="s">
        <v>275</v>
      </c>
      <c r="C471" t="s">
        <v>161</v>
      </c>
      <c r="D471" t="s">
        <v>35</v>
      </c>
      <c r="E471" t="s">
        <v>387</v>
      </c>
      <c r="F471" t="s">
        <v>385</v>
      </c>
    </row>
    <row r="472" spans="1:58" x14ac:dyDescent="0.3">
      <c r="A472" t="s">
        <v>19</v>
      </c>
      <c r="B472" t="s">
        <v>275</v>
      </c>
      <c r="C472" t="s">
        <v>161</v>
      </c>
      <c r="D472" t="s">
        <v>35</v>
      </c>
      <c r="E472" t="s">
        <v>387</v>
      </c>
      <c r="F472" t="s">
        <v>386</v>
      </c>
      <c r="BB472">
        <v>246574.11</v>
      </c>
      <c r="BC472">
        <v>345203.75</v>
      </c>
      <c r="BD472">
        <v>345203.75</v>
      </c>
      <c r="BE472">
        <v>345203.75</v>
      </c>
      <c r="BF472">
        <v>98629.64</v>
      </c>
    </row>
    <row r="473" spans="1:58" x14ac:dyDescent="0.3">
      <c r="A473" t="s">
        <v>19</v>
      </c>
      <c r="B473" t="s">
        <v>278</v>
      </c>
      <c r="C473" t="s">
        <v>161</v>
      </c>
      <c r="D473" t="s">
        <v>40</v>
      </c>
      <c r="E473" t="s">
        <v>387</v>
      </c>
      <c r="F473" t="s">
        <v>384</v>
      </c>
      <c r="R473">
        <v>45348.27</v>
      </c>
      <c r="S473">
        <v>317437.86</v>
      </c>
      <c r="T473">
        <v>317437.86</v>
      </c>
      <c r="U473">
        <v>226741.33</v>
      </c>
    </row>
    <row r="474" spans="1:58" x14ac:dyDescent="0.3">
      <c r="A474" t="s">
        <v>19</v>
      </c>
      <c r="B474" t="s">
        <v>278</v>
      </c>
      <c r="C474" t="s">
        <v>161</v>
      </c>
      <c r="D474" t="s">
        <v>40</v>
      </c>
      <c r="E474" t="s">
        <v>387</v>
      </c>
      <c r="F474" t="s">
        <v>385</v>
      </c>
      <c r="R474">
        <v>45348.27</v>
      </c>
      <c r="S474">
        <v>317437.86</v>
      </c>
      <c r="T474">
        <v>317437.86</v>
      </c>
      <c r="U474">
        <v>226741.33</v>
      </c>
    </row>
    <row r="475" spans="1:58" x14ac:dyDescent="0.3">
      <c r="A475" t="s">
        <v>19</v>
      </c>
      <c r="B475" t="s">
        <v>278</v>
      </c>
      <c r="C475" t="s">
        <v>161</v>
      </c>
      <c r="D475" t="s">
        <v>40</v>
      </c>
      <c r="E475" t="s">
        <v>387</v>
      </c>
      <c r="F475" t="s">
        <v>386</v>
      </c>
    </row>
    <row r="476" spans="1:58" x14ac:dyDescent="0.3">
      <c r="A476" t="s">
        <v>19</v>
      </c>
      <c r="B476" t="s">
        <v>281</v>
      </c>
      <c r="C476" t="s">
        <v>161</v>
      </c>
      <c r="D476" t="s">
        <v>40</v>
      </c>
      <c r="E476" t="s">
        <v>387</v>
      </c>
      <c r="F476" t="s">
        <v>384</v>
      </c>
      <c r="AI476">
        <v>410968.65</v>
      </c>
      <c r="AJ476">
        <v>410968.65</v>
      </c>
    </row>
    <row r="477" spans="1:58" x14ac:dyDescent="0.3">
      <c r="A477" t="s">
        <v>19</v>
      </c>
      <c r="B477" t="s">
        <v>281</v>
      </c>
      <c r="C477" t="s">
        <v>161</v>
      </c>
      <c r="D477" t="s">
        <v>40</v>
      </c>
      <c r="E477" t="s">
        <v>387</v>
      </c>
      <c r="F477" t="s">
        <v>385</v>
      </c>
      <c r="AI477">
        <v>293549.03999999998</v>
      </c>
      <c r="AJ477">
        <v>410968.65</v>
      </c>
      <c r="AK477">
        <v>117419.61</v>
      </c>
    </row>
    <row r="478" spans="1:58" x14ac:dyDescent="0.3">
      <c r="A478" t="s">
        <v>19</v>
      </c>
      <c r="B478" t="s">
        <v>281</v>
      </c>
      <c r="C478" t="s">
        <v>161</v>
      </c>
      <c r="D478" t="s">
        <v>40</v>
      </c>
      <c r="E478" t="s">
        <v>387</v>
      </c>
      <c r="F478" t="s">
        <v>386</v>
      </c>
    </row>
    <row r="479" spans="1:58" x14ac:dyDescent="0.3">
      <c r="A479" t="s">
        <v>19</v>
      </c>
      <c r="B479" t="s">
        <v>283</v>
      </c>
      <c r="C479" t="s">
        <v>161</v>
      </c>
      <c r="D479" t="s">
        <v>40</v>
      </c>
      <c r="E479" t="s">
        <v>387</v>
      </c>
      <c r="F479" t="s">
        <v>384</v>
      </c>
      <c r="X479">
        <v>51016.800000000003</v>
      </c>
      <c r="Y479">
        <v>59519.6</v>
      </c>
      <c r="Z479">
        <v>25508.400000000001</v>
      </c>
    </row>
    <row r="480" spans="1:58" x14ac:dyDescent="0.3">
      <c r="A480" t="s">
        <v>19</v>
      </c>
      <c r="B480" t="s">
        <v>283</v>
      </c>
      <c r="C480" t="s">
        <v>161</v>
      </c>
      <c r="D480" t="s">
        <v>40</v>
      </c>
      <c r="E480" t="s">
        <v>387</v>
      </c>
      <c r="F480" t="s">
        <v>385</v>
      </c>
      <c r="X480">
        <v>51016.800000000003</v>
      </c>
      <c r="Y480">
        <v>59519.6</v>
      </c>
      <c r="Z480">
        <v>25508.400000000001</v>
      </c>
    </row>
    <row r="481" spans="1:55" x14ac:dyDescent="0.3">
      <c r="A481" t="s">
        <v>19</v>
      </c>
      <c r="B481" t="s">
        <v>283</v>
      </c>
      <c r="C481" t="s">
        <v>161</v>
      </c>
      <c r="D481" t="s">
        <v>40</v>
      </c>
      <c r="E481" t="s">
        <v>387</v>
      </c>
      <c r="F481" t="s">
        <v>386</v>
      </c>
    </row>
    <row r="482" spans="1:55" x14ac:dyDescent="0.3">
      <c r="A482" t="s">
        <v>19</v>
      </c>
      <c r="B482" t="s">
        <v>285</v>
      </c>
      <c r="C482" t="s">
        <v>161</v>
      </c>
      <c r="D482" t="s">
        <v>40</v>
      </c>
      <c r="E482" t="s">
        <v>387</v>
      </c>
      <c r="F482" t="s">
        <v>384</v>
      </c>
      <c r="AB482">
        <v>336569.15</v>
      </c>
      <c r="AC482">
        <v>471196.8</v>
      </c>
      <c r="AD482">
        <v>471196.8</v>
      </c>
      <c r="AE482">
        <v>336569.15</v>
      </c>
    </row>
    <row r="483" spans="1:55" x14ac:dyDescent="0.3">
      <c r="A483" t="s">
        <v>19</v>
      </c>
      <c r="B483" t="s">
        <v>285</v>
      </c>
      <c r="C483" t="s">
        <v>161</v>
      </c>
      <c r="D483" t="s">
        <v>40</v>
      </c>
      <c r="E483" t="s">
        <v>387</v>
      </c>
      <c r="F483" t="s">
        <v>385</v>
      </c>
      <c r="AB483">
        <v>336569.15</v>
      </c>
      <c r="AC483">
        <v>471196.8</v>
      </c>
      <c r="AD483">
        <v>471196.8</v>
      </c>
      <c r="AE483">
        <v>336569.15</v>
      </c>
    </row>
    <row r="484" spans="1:55" x14ac:dyDescent="0.3">
      <c r="A484" t="s">
        <v>19</v>
      </c>
      <c r="B484" t="s">
        <v>285</v>
      </c>
      <c r="C484" t="s">
        <v>161</v>
      </c>
      <c r="D484" t="s">
        <v>40</v>
      </c>
      <c r="E484" t="s">
        <v>387</v>
      </c>
      <c r="F484" t="s">
        <v>386</v>
      </c>
    </row>
    <row r="485" spans="1:55" x14ac:dyDescent="0.3">
      <c r="A485" t="s">
        <v>19</v>
      </c>
      <c r="B485" t="s">
        <v>287</v>
      </c>
      <c r="C485" t="s">
        <v>161</v>
      </c>
      <c r="D485" t="s">
        <v>40</v>
      </c>
      <c r="E485" t="s">
        <v>387</v>
      </c>
      <c r="F485" t="s">
        <v>384</v>
      </c>
      <c r="AE485">
        <v>98738.76</v>
      </c>
      <c r="AG485">
        <v>98738.76</v>
      </c>
      <c r="AH485">
        <v>691171.33</v>
      </c>
      <c r="AI485">
        <v>691171.33</v>
      </c>
      <c r="AJ485">
        <v>197477.52</v>
      </c>
    </row>
    <row r="486" spans="1:55" x14ac:dyDescent="0.3">
      <c r="A486" t="s">
        <v>19</v>
      </c>
      <c r="B486" t="s">
        <v>287</v>
      </c>
      <c r="C486" t="s">
        <v>161</v>
      </c>
      <c r="D486" t="s">
        <v>40</v>
      </c>
      <c r="E486" t="s">
        <v>387</v>
      </c>
      <c r="F486" t="s">
        <v>385</v>
      </c>
      <c r="AE486">
        <v>161572.51999999999</v>
      </c>
      <c r="AG486">
        <v>161572.51999999999</v>
      </c>
      <c r="AH486">
        <v>1131007.6299999999</v>
      </c>
      <c r="AI486">
        <v>323145.03999999998</v>
      </c>
    </row>
    <row r="487" spans="1:55" x14ac:dyDescent="0.3">
      <c r="A487" t="s">
        <v>19</v>
      </c>
      <c r="B487" t="s">
        <v>287</v>
      </c>
      <c r="C487" t="s">
        <v>161</v>
      </c>
      <c r="D487" t="s">
        <v>40</v>
      </c>
      <c r="E487" t="s">
        <v>387</v>
      </c>
      <c r="F487" t="s">
        <v>386</v>
      </c>
    </row>
    <row r="488" spans="1:55" x14ac:dyDescent="0.3">
      <c r="A488" t="s">
        <v>19</v>
      </c>
      <c r="B488" t="s">
        <v>289</v>
      </c>
      <c r="C488" t="s">
        <v>161</v>
      </c>
      <c r="D488" t="s">
        <v>40</v>
      </c>
      <c r="E488" t="s">
        <v>387</v>
      </c>
      <c r="F488" t="s">
        <v>384</v>
      </c>
      <c r="AW488">
        <v>321135.27</v>
      </c>
      <c r="AX488">
        <v>749315.64</v>
      </c>
      <c r="AY488">
        <v>749315.64</v>
      </c>
      <c r="AZ488">
        <v>535225.44999999995</v>
      </c>
    </row>
    <row r="489" spans="1:55" x14ac:dyDescent="0.3">
      <c r="A489" t="s">
        <v>19</v>
      </c>
      <c r="B489" t="s">
        <v>289</v>
      </c>
      <c r="C489" t="s">
        <v>161</v>
      </c>
      <c r="D489" t="s">
        <v>40</v>
      </c>
      <c r="E489" t="s">
        <v>387</v>
      </c>
      <c r="F489" t="s">
        <v>385</v>
      </c>
    </row>
    <row r="490" spans="1:55" x14ac:dyDescent="0.3">
      <c r="A490" t="s">
        <v>19</v>
      </c>
      <c r="B490" t="s">
        <v>289</v>
      </c>
      <c r="C490" t="s">
        <v>161</v>
      </c>
      <c r="D490" t="s">
        <v>40</v>
      </c>
      <c r="E490" t="s">
        <v>387</v>
      </c>
      <c r="F490" t="s">
        <v>386</v>
      </c>
      <c r="AW490">
        <v>321135.27</v>
      </c>
      <c r="AX490">
        <v>749315.64</v>
      </c>
      <c r="AY490">
        <v>749315.64</v>
      </c>
      <c r="AZ490">
        <v>535225.44999999995</v>
      </c>
    </row>
    <row r="491" spans="1:55" x14ac:dyDescent="0.3">
      <c r="A491" t="s">
        <v>19</v>
      </c>
      <c r="B491" t="s">
        <v>291</v>
      </c>
      <c r="C491" t="s">
        <v>161</v>
      </c>
      <c r="D491" t="s">
        <v>40</v>
      </c>
      <c r="E491" t="s">
        <v>387</v>
      </c>
      <c r="F491" t="s">
        <v>384</v>
      </c>
      <c r="AZ491">
        <v>73094.240000000005</v>
      </c>
      <c r="BA491">
        <v>255829.85</v>
      </c>
      <c r="BB491">
        <v>255829.85</v>
      </c>
      <c r="BC491">
        <v>109641.36</v>
      </c>
    </row>
    <row r="492" spans="1:55" x14ac:dyDescent="0.3">
      <c r="A492" t="s">
        <v>19</v>
      </c>
      <c r="B492" t="s">
        <v>291</v>
      </c>
      <c r="C492" t="s">
        <v>161</v>
      </c>
      <c r="D492" t="s">
        <v>40</v>
      </c>
      <c r="E492" t="s">
        <v>387</v>
      </c>
      <c r="F492" t="s">
        <v>385</v>
      </c>
    </row>
    <row r="493" spans="1:55" x14ac:dyDescent="0.3">
      <c r="A493" t="s">
        <v>19</v>
      </c>
      <c r="B493" t="s">
        <v>291</v>
      </c>
      <c r="C493" t="s">
        <v>161</v>
      </c>
      <c r="D493" t="s">
        <v>40</v>
      </c>
      <c r="E493" t="s">
        <v>387</v>
      </c>
      <c r="F493" t="s">
        <v>386</v>
      </c>
      <c r="AZ493">
        <v>73094.240000000005</v>
      </c>
      <c r="BA493">
        <v>255829.85</v>
      </c>
      <c r="BB493">
        <v>255829.85</v>
      </c>
      <c r="BC493">
        <v>109641.36</v>
      </c>
    </row>
    <row r="494" spans="1:55" x14ac:dyDescent="0.3">
      <c r="A494" t="s">
        <v>19</v>
      </c>
      <c r="B494" t="s">
        <v>293</v>
      </c>
      <c r="C494" t="s">
        <v>161</v>
      </c>
      <c r="D494" t="s">
        <v>45</v>
      </c>
      <c r="E494" t="s">
        <v>387</v>
      </c>
      <c r="F494" t="s">
        <v>384</v>
      </c>
      <c r="AS494">
        <v>1349110.85</v>
      </c>
      <c r="AT494">
        <v>1888755.19</v>
      </c>
      <c r="AU494">
        <v>1888755.19</v>
      </c>
      <c r="AV494">
        <v>1888755.19</v>
      </c>
      <c r="AW494">
        <v>1079288.68</v>
      </c>
    </row>
    <row r="495" spans="1:55" x14ac:dyDescent="0.3">
      <c r="A495" t="s">
        <v>19</v>
      </c>
      <c r="B495" t="s">
        <v>293</v>
      </c>
      <c r="C495" t="s">
        <v>161</v>
      </c>
      <c r="D495" t="s">
        <v>45</v>
      </c>
      <c r="E495" t="s">
        <v>387</v>
      </c>
      <c r="F495" t="s">
        <v>385</v>
      </c>
    </row>
    <row r="496" spans="1:55" x14ac:dyDescent="0.3">
      <c r="A496" t="s">
        <v>19</v>
      </c>
      <c r="B496" t="s">
        <v>293</v>
      </c>
      <c r="C496" t="s">
        <v>161</v>
      </c>
      <c r="D496" t="s">
        <v>45</v>
      </c>
      <c r="E496" t="s">
        <v>387</v>
      </c>
      <c r="F496" t="s">
        <v>386</v>
      </c>
      <c r="AS496">
        <v>1349110.85</v>
      </c>
      <c r="AT496">
        <v>1888755.19</v>
      </c>
      <c r="AU496">
        <v>1888755.19</v>
      </c>
      <c r="AV496">
        <v>1888755.19</v>
      </c>
      <c r="AW496">
        <v>1079288.68</v>
      </c>
    </row>
    <row r="497" spans="1:62" x14ac:dyDescent="0.3">
      <c r="A497" t="s">
        <v>19</v>
      </c>
      <c r="B497" t="s">
        <v>298</v>
      </c>
      <c r="C497" t="s">
        <v>161</v>
      </c>
      <c r="D497" t="s">
        <v>31</v>
      </c>
      <c r="E497" t="s">
        <v>387</v>
      </c>
      <c r="F497" t="s">
        <v>384</v>
      </c>
      <c r="BC497">
        <v>1090130.6200000001</v>
      </c>
      <c r="BD497">
        <v>1907728.58</v>
      </c>
      <c r="BE497">
        <v>1907728.58</v>
      </c>
      <c r="BF497">
        <v>1090130.6200000001</v>
      </c>
    </row>
    <row r="498" spans="1:62" x14ac:dyDescent="0.3">
      <c r="A498" t="s">
        <v>19</v>
      </c>
      <c r="B498" t="s">
        <v>298</v>
      </c>
      <c r="C498" t="s">
        <v>161</v>
      </c>
      <c r="D498" t="s">
        <v>31</v>
      </c>
      <c r="E498" t="s">
        <v>387</v>
      </c>
      <c r="F498" t="s">
        <v>385</v>
      </c>
    </row>
    <row r="499" spans="1:62" x14ac:dyDescent="0.3">
      <c r="A499" t="s">
        <v>19</v>
      </c>
      <c r="B499" t="s">
        <v>298</v>
      </c>
      <c r="C499" t="s">
        <v>161</v>
      </c>
      <c r="D499" t="s">
        <v>31</v>
      </c>
      <c r="E499" t="s">
        <v>387</v>
      </c>
      <c r="F499" t="s">
        <v>386</v>
      </c>
      <c r="BC499">
        <v>1090130.6200000001</v>
      </c>
      <c r="BD499">
        <v>1907728.58</v>
      </c>
      <c r="BE499">
        <v>1907728.58</v>
      </c>
      <c r="BF499">
        <v>1090130.6200000001</v>
      </c>
    </row>
    <row r="500" spans="1:62" x14ac:dyDescent="0.3">
      <c r="A500" t="s">
        <v>19</v>
      </c>
      <c r="B500" t="s">
        <v>301</v>
      </c>
      <c r="C500" t="s">
        <v>161</v>
      </c>
      <c r="D500" t="s">
        <v>61</v>
      </c>
      <c r="E500" t="s">
        <v>387</v>
      </c>
      <c r="F500" t="s">
        <v>384</v>
      </c>
      <c r="BB500">
        <v>45361.87</v>
      </c>
      <c r="BC500">
        <v>22680.93</v>
      </c>
    </row>
    <row r="501" spans="1:62" x14ac:dyDescent="0.3">
      <c r="A501" t="s">
        <v>19</v>
      </c>
      <c r="B501" t="s">
        <v>301</v>
      </c>
      <c r="C501" t="s">
        <v>161</v>
      </c>
      <c r="D501" t="s">
        <v>61</v>
      </c>
      <c r="E501" t="s">
        <v>387</v>
      </c>
      <c r="F501" t="s">
        <v>385</v>
      </c>
    </row>
    <row r="502" spans="1:62" x14ac:dyDescent="0.3">
      <c r="A502" t="s">
        <v>19</v>
      </c>
      <c r="B502" t="s">
        <v>301</v>
      </c>
      <c r="C502" t="s">
        <v>161</v>
      </c>
      <c r="D502" t="s">
        <v>61</v>
      </c>
      <c r="E502" t="s">
        <v>387</v>
      </c>
      <c r="F502" t="s">
        <v>386</v>
      </c>
      <c r="BB502">
        <v>45361.87</v>
      </c>
      <c r="BC502">
        <v>22680.93</v>
      </c>
    </row>
    <row r="503" spans="1:62" x14ac:dyDescent="0.3">
      <c r="A503" t="s">
        <v>19</v>
      </c>
      <c r="B503" t="s">
        <v>304</v>
      </c>
      <c r="C503" t="s">
        <v>161</v>
      </c>
      <c r="D503" t="s">
        <v>64</v>
      </c>
      <c r="E503" t="s">
        <v>387</v>
      </c>
      <c r="F503" t="s">
        <v>384</v>
      </c>
      <c r="BC503">
        <v>18316.16</v>
      </c>
      <c r="BD503">
        <v>27474.240000000002</v>
      </c>
    </row>
    <row r="504" spans="1:62" x14ac:dyDescent="0.3">
      <c r="A504" t="s">
        <v>19</v>
      </c>
      <c r="B504" t="s">
        <v>304</v>
      </c>
      <c r="C504" t="s">
        <v>161</v>
      </c>
      <c r="D504" t="s">
        <v>64</v>
      </c>
      <c r="E504" t="s">
        <v>387</v>
      </c>
      <c r="F504" t="s">
        <v>385</v>
      </c>
    </row>
    <row r="505" spans="1:62" x14ac:dyDescent="0.3">
      <c r="A505" t="s">
        <v>19</v>
      </c>
      <c r="B505" t="s">
        <v>304</v>
      </c>
      <c r="C505" t="s">
        <v>161</v>
      </c>
      <c r="D505" t="s">
        <v>64</v>
      </c>
      <c r="E505" t="s">
        <v>387</v>
      </c>
      <c r="F505" t="s">
        <v>386</v>
      </c>
      <c r="BC505">
        <v>18316.16</v>
      </c>
      <c r="BD505">
        <v>27474.240000000002</v>
      </c>
    </row>
    <row r="506" spans="1:62" x14ac:dyDescent="0.3">
      <c r="A506" t="s">
        <v>19</v>
      </c>
      <c r="B506" t="s">
        <v>306</v>
      </c>
      <c r="C506" t="s">
        <v>161</v>
      </c>
      <c r="D506" t="s">
        <v>35</v>
      </c>
      <c r="E506" t="s">
        <v>387</v>
      </c>
      <c r="F506" t="s">
        <v>384</v>
      </c>
      <c r="BF506">
        <v>147944.46</v>
      </c>
      <c r="BG506">
        <v>345203.75</v>
      </c>
      <c r="BH506">
        <v>345203.75</v>
      </c>
      <c r="BI506">
        <v>345203.75</v>
      </c>
      <c r="BJ506">
        <v>197259.29</v>
      </c>
    </row>
    <row r="507" spans="1:62" x14ac:dyDescent="0.3">
      <c r="A507" t="s">
        <v>19</v>
      </c>
      <c r="B507" t="s">
        <v>306</v>
      </c>
      <c r="C507" t="s">
        <v>161</v>
      </c>
      <c r="D507" t="s">
        <v>35</v>
      </c>
      <c r="E507" t="s">
        <v>387</v>
      </c>
      <c r="F507" t="s">
        <v>385</v>
      </c>
    </row>
    <row r="508" spans="1:62" x14ac:dyDescent="0.3">
      <c r="A508" t="s">
        <v>19</v>
      </c>
      <c r="B508" t="s">
        <v>306</v>
      </c>
      <c r="C508" t="s">
        <v>161</v>
      </c>
      <c r="D508" t="s">
        <v>35</v>
      </c>
      <c r="E508" t="s">
        <v>387</v>
      </c>
      <c r="F508" t="s">
        <v>386</v>
      </c>
      <c r="BF508">
        <v>147944.46</v>
      </c>
      <c r="BG508">
        <v>345203.75</v>
      </c>
      <c r="BH508">
        <v>345203.75</v>
      </c>
      <c r="BI508">
        <v>345203.75</v>
      </c>
      <c r="BJ508">
        <v>197259.29</v>
      </c>
    </row>
    <row r="509" spans="1:62" x14ac:dyDescent="0.3">
      <c r="A509" t="s">
        <v>19</v>
      </c>
      <c r="B509" t="s">
        <v>309</v>
      </c>
      <c r="C509" t="s">
        <v>312</v>
      </c>
      <c r="D509" t="s">
        <v>45</v>
      </c>
      <c r="E509" t="s">
        <v>387</v>
      </c>
      <c r="F509" t="s">
        <v>384</v>
      </c>
      <c r="AO509">
        <v>229407.73</v>
      </c>
      <c r="AP509">
        <v>458815.47</v>
      </c>
    </row>
    <row r="510" spans="1:62" x14ac:dyDescent="0.3">
      <c r="A510" t="s">
        <v>19</v>
      </c>
      <c r="B510" t="s">
        <v>309</v>
      </c>
      <c r="C510" t="s">
        <v>312</v>
      </c>
      <c r="D510" t="s">
        <v>45</v>
      </c>
      <c r="E510" t="s">
        <v>387</v>
      </c>
      <c r="F510" t="s">
        <v>385</v>
      </c>
    </row>
    <row r="511" spans="1:62" x14ac:dyDescent="0.3">
      <c r="A511" t="s">
        <v>19</v>
      </c>
      <c r="B511" t="s">
        <v>309</v>
      </c>
      <c r="C511" t="s">
        <v>312</v>
      </c>
      <c r="D511" t="s">
        <v>45</v>
      </c>
      <c r="E511" t="s">
        <v>387</v>
      </c>
      <c r="F511" t="s">
        <v>386</v>
      </c>
      <c r="AO511">
        <v>229407.73</v>
      </c>
      <c r="AP511">
        <v>458815.47</v>
      </c>
    </row>
    <row r="512" spans="1:62" x14ac:dyDescent="0.3">
      <c r="A512" t="s">
        <v>19</v>
      </c>
      <c r="B512" t="s">
        <v>313</v>
      </c>
      <c r="C512" t="s">
        <v>312</v>
      </c>
      <c r="D512" t="s">
        <v>31</v>
      </c>
      <c r="E512" t="s">
        <v>387</v>
      </c>
      <c r="F512" t="s">
        <v>384</v>
      </c>
      <c r="AR512">
        <v>114703.87</v>
      </c>
      <c r="AS512">
        <v>573519.32999999996</v>
      </c>
    </row>
    <row r="513" spans="1:49" x14ac:dyDescent="0.3">
      <c r="A513" t="s">
        <v>19</v>
      </c>
      <c r="B513" t="s">
        <v>313</v>
      </c>
      <c r="C513" t="s">
        <v>312</v>
      </c>
      <c r="D513" t="s">
        <v>31</v>
      </c>
      <c r="E513" t="s">
        <v>387</v>
      </c>
      <c r="F513" t="s">
        <v>385</v>
      </c>
    </row>
    <row r="514" spans="1:49" x14ac:dyDescent="0.3">
      <c r="A514" t="s">
        <v>19</v>
      </c>
      <c r="B514" t="s">
        <v>313</v>
      </c>
      <c r="C514" t="s">
        <v>312</v>
      </c>
      <c r="D514" t="s">
        <v>31</v>
      </c>
      <c r="E514" t="s">
        <v>387</v>
      </c>
      <c r="F514" t="s">
        <v>386</v>
      </c>
      <c r="AR514">
        <v>114703.87</v>
      </c>
      <c r="AS514">
        <v>573519.32999999996</v>
      </c>
    </row>
    <row r="515" spans="1:49" x14ac:dyDescent="0.3">
      <c r="A515" t="s">
        <v>19</v>
      </c>
      <c r="B515" t="s">
        <v>316</v>
      </c>
      <c r="C515" t="s">
        <v>312</v>
      </c>
      <c r="D515" t="s">
        <v>61</v>
      </c>
      <c r="E515" t="s">
        <v>387</v>
      </c>
      <c r="F515" t="s">
        <v>384</v>
      </c>
      <c r="AQ515">
        <v>688223.2</v>
      </c>
    </row>
    <row r="516" spans="1:49" x14ac:dyDescent="0.3">
      <c r="A516" t="s">
        <v>19</v>
      </c>
      <c r="B516" t="s">
        <v>316</v>
      </c>
      <c r="C516" t="s">
        <v>312</v>
      </c>
      <c r="D516" t="s">
        <v>61</v>
      </c>
      <c r="E516" t="s">
        <v>387</v>
      </c>
      <c r="F516" t="s">
        <v>385</v>
      </c>
    </row>
    <row r="517" spans="1:49" x14ac:dyDescent="0.3">
      <c r="A517" t="s">
        <v>19</v>
      </c>
      <c r="B517" t="s">
        <v>316</v>
      </c>
      <c r="C517" t="s">
        <v>312</v>
      </c>
      <c r="D517" t="s">
        <v>61</v>
      </c>
      <c r="E517" t="s">
        <v>387</v>
      </c>
      <c r="F517" t="s">
        <v>386</v>
      </c>
      <c r="AQ517">
        <v>688223.2</v>
      </c>
    </row>
    <row r="518" spans="1:49" x14ac:dyDescent="0.3">
      <c r="A518" t="s">
        <v>19</v>
      </c>
      <c r="B518" t="s">
        <v>319</v>
      </c>
      <c r="C518" t="s">
        <v>312</v>
      </c>
      <c r="D518" t="s">
        <v>64</v>
      </c>
      <c r="E518" t="s">
        <v>387</v>
      </c>
      <c r="F518" t="s">
        <v>384</v>
      </c>
      <c r="AR518">
        <v>458815.47</v>
      </c>
      <c r="AS518">
        <v>229407.73</v>
      </c>
    </row>
    <row r="519" spans="1:49" x14ac:dyDescent="0.3">
      <c r="A519" t="s">
        <v>19</v>
      </c>
      <c r="B519" t="s">
        <v>319</v>
      </c>
      <c r="C519" t="s">
        <v>312</v>
      </c>
      <c r="D519" t="s">
        <v>64</v>
      </c>
      <c r="E519" t="s">
        <v>387</v>
      </c>
      <c r="F519" t="s">
        <v>385</v>
      </c>
    </row>
    <row r="520" spans="1:49" x14ac:dyDescent="0.3">
      <c r="A520" t="s">
        <v>19</v>
      </c>
      <c r="B520" t="s">
        <v>319</v>
      </c>
      <c r="C520" t="s">
        <v>312</v>
      </c>
      <c r="D520" t="s">
        <v>64</v>
      </c>
      <c r="E520" t="s">
        <v>387</v>
      </c>
      <c r="F520" t="s">
        <v>386</v>
      </c>
      <c r="AR520">
        <v>458815.47</v>
      </c>
      <c r="AS520">
        <v>229407.73</v>
      </c>
    </row>
    <row r="521" spans="1:49" x14ac:dyDescent="0.3">
      <c r="A521" t="s">
        <v>19</v>
      </c>
      <c r="B521" t="s">
        <v>321</v>
      </c>
      <c r="C521" t="s">
        <v>312</v>
      </c>
      <c r="D521" t="s">
        <v>35</v>
      </c>
      <c r="E521" t="s">
        <v>387</v>
      </c>
      <c r="F521" t="s">
        <v>384</v>
      </c>
      <c r="AV521">
        <v>114703.87</v>
      </c>
      <c r="AW521">
        <v>573519.32999999996</v>
      </c>
    </row>
    <row r="522" spans="1:49" x14ac:dyDescent="0.3">
      <c r="A522" t="s">
        <v>19</v>
      </c>
      <c r="B522" t="s">
        <v>321</v>
      </c>
      <c r="C522" t="s">
        <v>312</v>
      </c>
      <c r="D522" t="s">
        <v>35</v>
      </c>
      <c r="E522" t="s">
        <v>387</v>
      </c>
      <c r="F522" t="s">
        <v>385</v>
      </c>
    </row>
    <row r="523" spans="1:49" x14ac:dyDescent="0.3">
      <c r="A523" t="s">
        <v>19</v>
      </c>
      <c r="B523" t="s">
        <v>321</v>
      </c>
      <c r="C523" t="s">
        <v>312</v>
      </c>
      <c r="D523" t="s">
        <v>35</v>
      </c>
      <c r="E523" t="s">
        <v>387</v>
      </c>
      <c r="F523" t="s">
        <v>386</v>
      </c>
      <c r="AV523">
        <v>114703.87</v>
      </c>
      <c r="AW523">
        <v>573519.32999999996</v>
      </c>
    </row>
    <row r="524" spans="1:49" x14ac:dyDescent="0.3">
      <c r="A524" t="s">
        <v>19</v>
      </c>
      <c r="B524" t="s">
        <v>324</v>
      </c>
      <c r="C524" t="s">
        <v>312</v>
      </c>
      <c r="D524" t="s">
        <v>45</v>
      </c>
      <c r="E524" t="s">
        <v>387</v>
      </c>
      <c r="F524" t="s">
        <v>384</v>
      </c>
      <c r="AO524">
        <v>229407.73</v>
      </c>
      <c r="AP524">
        <v>458815.47</v>
      </c>
    </row>
    <row r="525" spans="1:49" x14ac:dyDescent="0.3">
      <c r="A525" t="s">
        <v>19</v>
      </c>
      <c r="B525" t="s">
        <v>324</v>
      </c>
      <c r="C525" t="s">
        <v>312</v>
      </c>
      <c r="D525" t="s">
        <v>45</v>
      </c>
      <c r="E525" t="s">
        <v>387</v>
      </c>
      <c r="F525" t="s">
        <v>385</v>
      </c>
    </row>
    <row r="526" spans="1:49" x14ac:dyDescent="0.3">
      <c r="A526" t="s">
        <v>19</v>
      </c>
      <c r="B526" t="s">
        <v>324</v>
      </c>
      <c r="C526" t="s">
        <v>312</v>
      </c>
      <c r="D526" t="s">
        <v>45</v>
      </c>
      <c r="E526" t="s">
        <v>387</v>
      </c>
      <c r="F526" t="s">
        <v>386</v>
      </c>
      <c r="AO526">
        <v>229407.73</v>
      </c>
      <c r="AP526">
        <v>458815.47</v>
      </c>
    </row>
    <row r="527" spans="1:49" x14ac:dyDescent="0.3">
      <c r="A527" t="s">
        <v>19</v>
      </c>
      <c r="B527" t="s">
        <v>327</v>
      </c>
      <c r="C527" t="s">
        <v>312</v>
      </c>
      <c r="D527" t="s">
        <v>31</v>
      </c>
      <c r="E527" t="s">
        <v>387</v>
      </c>
      <c r="F527" t="s">
        <v>384</v>
      </c>
      <c r="AU527">
        <v>344111.6</v>
      </c>
      <c r="AV527">
        <v>344111.6</v>
      </c>
    </row>
    <row r="528" spans="1:49" x14ac:dyDescent="0.3">
      <c r="A528" t="s">
        <v>19</v>
      </c>
      <c r="B528" t="s">
        <v>327</v>
      </c>
      <c r="C528" t="s">
        <v>312</v>
      </c>
      <c r="D528" t="s">
        <v>31</v>
      </c>
      <c r="E528" t="s">
        <v>387</v>
      </c>
      <c r="F528" t="s">
        <v>385</v>
      </c>
    </row>
    <row r="529" spans="1:55" x14ac:dyDescent="0.3">
      <c r="A529" t="s">
        <v>19</v>
      </c>
      <c r="B529" t="s">
        <v>327</v>
      </c>
      <c r="C529" t="s">
        <v>312</v>
      </c>
      <c r="D529" t="s">
        <v>31</v>
      </c>
      <c r="E529" t="s">
        <v>387</v>
      </c>
      <c r="F529" t="s">
        <v>386</v>
      </c>
      <c r="AU529">
        <v>344111.6</v>
      </c>
      <c r="AV529">
        <v>344111.6</v>
      </c>
    </row>
    <row r="530" spans="1:55" x14ac:dyDescent="0.3">
      <c r="A530" t="s">
        <v>19</v>
      </c>
      <c r="B530" t="s">
        <v>330</v>
      </c>
      <c r="C530" t="s">
        <v>312</v>
      </c>
      <c r="D530" t="s">
        <v>61</v>
      </c>
      <c r="E530" t="s">
        <v>387</v>
      </c>
      <c r="F530" t="s">
        <v>384</v>
      </c>
      <c r="AR530">
        <v>458815.47</v>
      </c>
      <c r="AS530">
        <v>229407.73</v>
      </c>
    </row>
    <row r="531" spans="1:55" x14ac:dyDescent="0.3">
      <c r="A531" t="s">
        <v>19</v>
      </c>
      <c r="B531" t="s">
        <v>330</v>
      </c>
      <c r="C531" t="s">
        <v>312</v>
      </c>
      <c r="D531" t="s">
        <v>61</v>
      </c>
      <c r="E531" t="s">
        <v>387</v>
      </c>
      <c r="F531" t="s">
        <v>385</v>
      </c>
    </row>
    <row r="532" spans="1:55" x14ac:dyDescent="0.3">
      <c r="A532" t="s">
        <v>19</v>
      </c>
      <c r="B532" t="s">
        <v>330</v>
      </c>
      <c r="C532" t="s">
        <v>312</v>
      </c>
      <c r="D532" t="s">
        <v>61</v>
      </c>
      <c r="E532" t="s">
        <v>387</v>
      </c>
      <c r="F532" t="s">
        <v>386</v>
      </c>
      <c r="AR532">
        <v>458815.47</v>
      </c>
      <c r="AS532">
        <v>229407.73</v>
      </c>
    </row>
    <row r="533" spans="1:55" x14ac:dyDescent="0.3">
      <c r="A533" t="s">
        <v>19</v>
      </c>
      <c r="B533" t="s">
        <v>333</v>
      </c>
      <c r="C533" t="s">
        <v>312</v>
      </c>
      <c r="D533" t="s">
        <v>64</v>
      </c>
      <c r="E533" t="s">
        <v>387</v>
      </c>
      <c r="F533" t="s">
        <v>384</v>
      </c>
      <c r="AS533">
        <v>114703.87</v>
      </c>
      <c r="AT533">
        <v>573519.32999999996</v>
      </c>
    </row>
    <row r="534" spans="1:55" x14ac:dyDescent="0.3">
      <c r="A534" t="s">
        <v>19</v>
      </c>
      <c r="B534" t="s">
        <v>333</v>
      </c>
      <c r="C534" t="s">
        <v>312</v>
      </c>
      <c r="D534" t="s">
        <v>64</v>
      </c>
      <c r="E534" t="s">
        <v>387</v>
      </c>
      <c r="F534" t="s">
        <v>385</v>
      </c>
    </row>
    <row r="535" spans="1:55" x14ac:dyDescent="0.3">
      <c r="A535" t="s">
        <v>19</v>
      </c>
      <c r="B535" t="s">
        <v>333</v>
      </c>
      <c r="C535" t="s">
        <v>312</v>
      </c>
      <c r="D535" t="s">
        <v>64</v>
      </c>
      <c r="E535" t="s">
        <v>387</v>
      </c>
      <c r="F535" t="s">
        <v>386</v>
      </c>
      <c r="AS535">
        <v>114703.87</v>
      </c>
      <c r="AT535">
        <v>573519.32999999996</v>
      </c>
    </row>
    <row r="536" spans="1:55" x14ac:dyDescent="0.3">
      <c r="A536" t="s">
        <v>19</v>
      </c>
      <c r="B536" t="s">
        <v>335</v>
      </c>
      <c r="C536" t="s">
        <v>312</v>
      </c>
      <c r="D536" t="s">
        <v>35</v>
      </c>
      <c r="E536" t="s">
        <v>387</v>
      </c>
      <c r="F536" t="s">
        <v>384</v>
      </c>
      <c r="AY536">
        <v>344111.6</v>
      </c>
      <c r="AZ536">
        <v>344111.6</v>
      </c>
    </row>
    <row r="537" spans="1:55" x14ac:dyDescent="0.3">
      <c r="A537" t="s">
        <v>19</v>
      </c>
      <c r="B537" t="s">
        <v>335</v>
      </c>
      <c r="C537" t="s">
        <v>312</v>
      </c>
      <c r="D537" t="s">
        <v>35</v>
      </c>
      <c r="E537" t="s">
        <v>387</v>
      </c>
      <c r="F537" t="s">
        <v>385</v>
      </c>
    </row>
    <row r="538" spans="1:55" x14ac:dyDescent="0.3">
      <c r="A538" t="s">
        <v>19</v>
      </c>
      <c r="B538" t="s">
        <v>335</v>
      </c>
      <c r="C538" t="s">
        <v>312</v>
      </c>
      <c r="D538" t="s">
        <v>35</v>
      </c>
      <c r="E538" t="s">
        <v>387</v>
      </c>
      <c r="F538" t="s">
        <v>386</v>
      </c>
      <c r="AY538">
        <v>344111.6</v>
      </c>
      <c r="AZ538">
        <v>344111.6</v>
      </c>
    </row>
    <row r="539" spans="1:55" x14ac:dyDescent="0.3">
      <c r="A539" t="s">
        <v>19</v>
      </c>
      <c r="B539" t="s">
        <v>338</v>
      </c>
      <c r="C539" t="s">
        <v>312</v>
      </c>
      <c r="D539" t="s">
        <v>45</v>
      </c>
      <c r="E539" t="s">
        <v>387</v>
      </c>
      <c r="F539" t="s">
        <v>384</v>
      </c>
      <c r="AS539">
        <v>573519.32999999996</v>
      </c>
      <c r="AT539">
        <v>114703.87</v>
      </c>
    </row>
    <row r="540" spans="1:55" x14ac:dyDescent="0.3">
      <c r="A540" t="s">
        <v>19</v>
      </c>
      <c r="B540" t="s">
        <v>338</v>
      </c>
      <c r="C540" t="s">
        <v>312</v>
      </c>
      <c r="D540" t="s">
        <v>45</v>
      </c>
      <c r="E540" t="s">
        <v>387</v>
      </c>
      <c r="F540" t="s">
        <v>385</v>
      </c>
    </row>
    <row r="541" spans="1:55" x14ac:dyDescent="0.3">
      <c r="A541" t="s">
        <v>19</v>
      </c>
      <c r="B541" t="s">
        <v>338</v>
      </c>
      <c r="C541" t="s">
        <v>312</v>
      </c>
      <c r="D541" t="s">
        <v>45</v>
      </c>
      <c r="E541" t="s">
        <v>387</v>
      </c>
      <c r="F541" t="s">
        <v>386</v>
      </c>
      <c r="AS541">
        <v>573519.32999999996</v>
      </c>
      <c r="AT541">
        <v>114703.87</v>
      </c>
    </row>
    <row r="542" spans="1:55" x14ac:dyDescent="0.3">
      <c r="A542" t="s">
        <v>19</v>
      </c>
      <c r="B542" t="s">
        <v>342</v>
      </c>
      <c r="C542" t="s">
        <v>312</v>
      </c>
      <c r="D542" t="s">
        <v>31</v>
      </c>
      <c r="E542" t="s">
        <v>387</v>
      </c>
      <c r="F542" t="s">
        <v>384</v>
      </c>
      <c r="BB542">
        <v>573519.32999999996</v>
      </c>
      <c r="BC542">
        <v>114703.87</v>
      </c>
    </row>
    <row r="543" spans="1:55" x14ac:dyDescent="0.3">
      <c r="A543" t="s">
        <v>19</v>
      </c>
      <c r="B543" t="s">
        <v>342</v>
      </c>
      <c r="C543" t="s">
        <v>312</v>
      </c>
      <c r="D543" t="s">
        <v>31</v>
      </c>
      <c r="E543" t="s">
        <v>387</v>
      </c>
      <c r="F543" t="s">
        <v>385</v>
      </c>
    </row>
    <row r="544" spans="1:55" x14ac:dyDescent="0.3">
      <c r="A544" t="s">
        <v>19</v>
      </c>
      <c r="B544" t="s">
        <v>342</v>
      </c>
      <c r="C544" t="s">
        <v>312</v>
      </c>
      <c r="D544" t="s">
        <v>31</v>
      </c>
      <c r="E544" t="s">
        <v>387</v>
      </c>
      <c r="F544" t="s">
        <v>386</v>
      </c>
      <c r="BB544">
        <v>573519.32999999996</v>
      </c>
      <c r="BC544">
        <v>114703.87</v>
      </c>
    </row>
    <row r="545" spans="1:59" x14ac:dyDescent="0.3">
      <c r="A545" t="s">
        <v>19</v>
      </c>
      <c r="B545" t="s">
        <v>345</v>
      </c>
      <c r="C545" t="s">
        <v>312</v>
      </c>
      <c r="D545" t="s">
        <v>61</v>
      </c>
      <c r="E545" t="s">
        <v>387</v>
      </c>
      <c r="F545" t="s">
        <v>384</v>
      </c>
      <c r="AY545">
        <v>688223.2</v>
      </c>
    </row>
    <row r="546" spans="1:59" x14ac:dyDescent="0.3">
      <c r="A546" t="s">
        <v>19</v>
      </c>
      <c r="B546" t="s">
        <v>345</v>
      </c>
      <c r="C546" t="s">
        <v>312</v>
      </c>
      <c r="D546" t="s">
        <v>61</v>
      </c>
      <c r="E546" t="s">
        <v>387</v>
      </c>
      <c r="F546" t="s">
        <v>385</v>
      </c>
    </row>
    <row r="547" spans="1:59" x14ac:dyDescent="0.3">
      <c r="A547" t="s">
        <v>19</v>
      </c>
      <c r="B547" t="s">
        <v>345</v>
      </c>
      <c r="C547" t="s">
        <v>312</v>
      </c>
      <c r="D547" t="s">
        <v>61</v>
      </c>
      <c r="E547" t="s">
        <v>387</v>
      </c>
      <c r="F547" t="s">
        <v>386</v>
      </c>
      <c r="AY547">
        <v>688223.2</v>
      </c>
    </row>
    <row r="548" spans="1:59" x14ac:dyDescent="0.3">
      <c r="A548" t="s">
        <v>19</v>
      </c>
      <c r="B548" t="s">
        <v>348</v>
      </c>
      <c r="C548" t="s">
        <v>312</v>
      </c>
      <c r="D548" t="s">
        <v>64</v>
      </c>
      <c r="E548" t="s">
        <v>387</v>
      </c>
      <c r="F548" t="s">
        <v>384</v>
      </c>
      <c r="AZ548">
        <v>344111.6</v>
      </c>
      <c r="BA548">
        <v>344111.6</v>
      </c>
    </row>
    <row r="549" spans="1:59" x14ac:dyDescent="0.3">
      <c r="A549" t="s">
        <v>19</v>
      </c>
      <c r="B549" t="s">
        <v>348</v>
      </c>
      <c r="C549" t="s">
        <v>312</v>
      </c>
      <c r="D549" t="s">
        <v>64</v>
      </c>
      <c r="E549" t="s">
        <v>387</v>
      </c>
      <c r="F549" t="s">
        <v>385</v>
      </c>
    </row>
    <row r="550" spans="1:59" x14ac:dyDescent="0.3">
      <c r="A550" t="s">
        <v>19</v>
      </c>
      <c r="B550" t="s">
        <v>348</v>
      </c>
      <c r="C550" t="s">
        <v>312</v>
      </c>
      <c r="D550" t="s">
        <v>64</v>
      </c>
      <c r="E550" t="s">
        <v>387</v>
      </c>
      <c r="F550" t="s">
        <v>386</v>
      </c>
      <c r="AZ550">
        <v>344111.6</v>
      </c>
      <c r="BA550">
        <v>344111.6</v>
      </c>
    </row>
    <row r="551" spans="1:59" x14ac:dyDescent="0.3">
      <c r="A551" t="s">
        <v>19</v>
      </c>
      <c r="B551" t="s">
        <v>350</v>
      </c>
      <c r="C551" t="s">
        <v>312</v>
      </c>
      <c r="D551" t="s">
        <v>35</v>
      </c>
      <c r="E551" t="s">
        <v>387</v>
      </c>
      <c r="F551" t="s">
        <v>384</v>
      </c>
      <c r="BF551">
        <v>573519.32999999996</v>
      </c>
      <c r="BG551">
        <v>114703.87</v>
      </c>
    </row>
    <row r="552" spans="1:59" x14ac:dyDescent="0.3">
      <c r="A552" t="s">
        <v>19</v>
      </c>
      <c r="B552" t="s">
        <v>350</v>
      </c>
      <c r="C552" t="s">
        <v>312</v>
      </c>
      <c r="D552" t="s">
        <v>35</v>
      </c>
      <c r="E552" t="s">
        <v>387</v>
      </c>
      <c r="F552" t="s">
        <v>385</v>
      </c>
    </row>
    <row r="553" spans="1:59" x14ac:dyDescent="0.3">
      <c r="A553" t="s">
        <v>19</v>
      </c>
      <c r="B553" t="s">
        <v>350</v>
      </c>
      <c r="C553" t="s">
        <v>312</v>
      </c>
      <c r="D553" t="s">
        <v>35</v>
      </c>
      <c r="E553" t="s">
        <v>387</v>
      </c>
      <c r="F553" t="s">
        <v>386</v>
      </c>
      <c r="BF553">
        <v>573519.32999999996</v>
      </c>
      <c r="BG553">
        <v>114703.87</v>
      </c>
    </row>
    <row r="554" spans="1:59" x14ac:dyDescent="0.3">
      <c r="A554" t="s">
        <v>19</v>
      </c>
      <c r="B554" t="s">
        <v>353</v>
      </c>
      <c r="C554" t="s">
        <v>312</v>
      </c>
      <c r="D554" t="s">
        <v>45</v>
      </c>
      <c r="E554" t="s">
        <v>387</v>
      </c>
      <c r="F554" t="s">
        <v>384</v>
      </c>
      <c r="AW554">
        <v>344111.6</v>
      </c>
      <c r="AX554">
        <v>344111.6</v>
      </c>
    </row>
    <row r="555" spans="1:59" x14ac:dyDescent="0.3">
      <c r="A555" t="s">
        <v>19</v>
      </c>
      <c r="B555" t="s">
        <v>353</v>
      </c>
      <c r="C555" t="s">
        <v>312</v>
      </c>
      <c r="D555" t="s">
        <v>45</v>
      </c>
      <c r="E555" t="s">
        <v>387</v>
      </c>
      <c r="F555" t="s">
        <v>385</v>
      </c>
    </row>
    <row r="556" spans="1:59" x14ac:dyDescent="0.3">
      <c r="A556" t="s">
        <v>19</v>
      </c>
      <c r="B556" t="s">
        <v>353</v>
      </c>
      <c r="C556" t="s">
        <v>312</v>
      </c>
      <c r="D556" t="s">
        <v>45</v>
      </c>
      <c r="E556" t="s">
        <v>387</v>
      </c>
      <c r="F556" t="s">
        <v>386</v>
      </c>
      <c r="AW556">
        <v>344111.6</v>
      </c>
      <c r="AX556">
        <v>344111.6</v>
      </c>
    </row>
    <row r="557" spans="1:59" x14ac:dyDescent="0.3">
      <c r="A557" t="s">
        <v>19</v>
      </c>
      <c r="B557" t="s">
        <v>356</v>
      </c>
      <c r="C557" t="s">
        <v>312</v>
      </c>
      <c r="D557" t="s">
        <v>31</v>
      </c>
      <c r="E557" t="s">
        <v>387</v>
      </c>
      <c r="F557" t="s">
        <v>384</v>
      </c>
      <c r="BF557">
        <v>344111.6</v>
      </c>
      <c r="BG557">
        <v>344111.6</v>
      </c>
    </row>
    <row r="558" spans="1:59" x14ac:dyDescent="0.3">
      <c r="A558" t="s">
        <v>19</v>
      </c>
      <c r="B558" t="s">
        <v>356</v>
      </c>
      <c r="C558" t="s">
        <v>312</v>
      </c>
      <c r="D558" t="s">
        <v>31</v>
      </c>
      <c r="E558" t="s">
        <v>387</v>
      </c>
      <c r="F558" t="s">
        <v>385</v>
      </c>
    </row>
    <row r="559" spans="1:59" x14ac:dyDescent="0.3">
      <c r="A559" t="s">
        <v>19</v>
      </c>
      <c r="B559" t="s">
        <v>356</v>
      </c>
      <c r="C559" t="s">
        <v>312</v>
      </c>
      <c r="D559" t="s">
        <v>31</v>
      </c>
      <c r="E559" t="s">
        <v>387</v>
      </c>
      <c r="F559" t="s">
        <v>386</v>
      </c>
      <c r="BF559">
        <v>344111.6</v>
      </c>
      <c r="BG559">
        <v>344111.6</v>
      </c>
    </row>
    <row r="560" spans="1:59" x14ac:dyDescent="0.3">
      <c r="A560" t="s">
        <v>19</v>
      </c>
      <c r="B560" t="s">
        <v>359</v>
      </c>
      <c r="C560" t="s">
        <v>312</v>
      </c>
      <c r="D560" t="s">
        <v>61</v>
      </c>
      <c r="E560" t="s">
        <v>387</v>
      </c>
      <c r="F560" t="s">
        <v>384</v>
      </c>
      <c r="BC560">
        <v>458815.47</v>
      </c>
      <c r="BD560">
        <v>229407.73</v>
      </c>
    </row>
    <row r="561" spans="1:63" x14ac:dyDescent="0.3">
      <c r="A561" t="s">
        <v>19</v>
      </c>
      <c r="B561" t="s">
        <v>359</v>
      </c>
      <c r="C561" t="s">
        <v>312</v>
      </c>
      <c r="D561" t="s">
        <v>61</v>
      </c>
      <c r="E561" t="s">
        <v>387</v>
      </c>
      <c r="F561" t="s">
        <v>385</v>
      </c>
    </row>
    <row r="562" spans="1:63" x14ac:dyDescent="0.3">
      <c r="A562" t="s">
        <v>19</v>
      </c>
      <c r="B562" t="s">
        <v>359</v>
      </c>
      <c r="C562" t="s">
        <v>312</v>
      </c>
      <c r="D562" t="s">
        <v>61</v>
      </c>
      <c r="E562" t="s">
        <v>387</v>
      </c>
      <c r="F562" t="s">
        <v>386</v>
      </c>
      <c r="BC562">
        <v>458815.47</v>
      </c>
      <c r="BD562">
        <v>229407.73</v>
      </c>
    </row>
    <row r="563" spans="1:63" x14ac:dyDescent="0.3">
      <c r="A563" t="s">
        <v>19</v>
      </c>
      <c r="B563" t="s">
        <v>362</v>
      </c>
      <c r="C563" t="s">
        <v>312</v>
      </c>
      <c r="D563" t="s">
        <v>64</v>
      </c>
      <c r="E563" t="s">
        <v>387</v>
      </c>
      <c r="F563" t="s">
        <v>384</v>
      </c>
      <c r="BD563">
        <v>114703.87</v>
      </c>
      <c r="BE563">
        <v>573519.32999999996</v>
      </c>
    </row>
    <row r="564" spans="1:63" x14ac:dyDescent="0.3">
      <c r="A564" t="s">
        <v>19</v>
      </c>
      <c r="B564" t="s">
        <v>362</v>
      </c>
      <c r="C564" t="s">
        <v>312</v>
      </c>
      <c r="D564" t="s">
        <v>64</v>
      </c>
      <c r="E564" t="s">
        <v>387</v>
      </c>
      <c r="F564" t="s">
        <v>385</v>
      </c>
    </row>
    <row r="565" spans="1:63" x14ac:dyDescent="0.3">
      <c r="A565" t="s">
        <v>19</v>
      </c>
      <c r="B565" t="s">
        <v>362</v>
      </c>
      <c r="C565" t="s">
        <v>312</v>
      </c>
      <c r="D565" t="s">
        <v>64</v>
      </c>
      <c r="E565" t="s">
        <v>387</v>
      </c>
      <c r="F565" t="s">
        <v>386</v>
      </c>
      <c r="BD565">
        <v>114703.87</v>
      </c>
      <c r="BE565">
        <v>573519.32999999996</v>
      </c>
    </row>
    <row r="566" spans="1:63" x14ac:dyDescent="0.3">
      <c r="A566" t="s">
        <v>19</v>
      </c>
      <c r="B566" t="s">
        <v>364</v>
      </c>
      <c r="C566" t="s">
        <v>312</v>
      </c>
      <c r="D566" t="s">
        <v>35</v>
      </c>
      <c r="E566" t="s">
        <v>387</v>
      </c>
      <c r="F566" t="s">
        <v>384</v>
      </c>
      <c r="BJ566">
        <v>344111.6</v>
      </c>
      <c r="BK566">
        <v>344111.6</v>
      </c>
    </row>
    <row r="567" spans="1:63" x14ac:dyDescent="0.3">
      <c r="A567" t="s">
        <v>19</v>
      </c>
      <c r="B567" t="s">
        <v>364</v>
      </c>
      <c r="C567" t="s">
        <v>312</v>
      </c>
      <c r="D567" t="s">
        <v>35</v>
      </c>
      <c r="E567" t="s">
        <v>387</v>
      </c>
      <c r="F567" t="s">
        <v>385</v>
      </c>
    </row>
    <row r="568" spans="1:63" x14ac:dyDescent="0.3">
      <c r="A568" t="s">
        <v>19</v>
      </c>
      <c r="B568" t="s">
        <v>364</v>
      </c>
      <c r="C568" t="s">
        <v>312</v>
      </c>
      <c r="D568" t="s">
        <v>35</v>
      </c>
      <c r="E568" t="s">
        <v>387</v>
      </c>
      <c r="F568" t="s">
        <v>386</v>
      </c>
      <c r="BJ568">
        <v>344111.6</v>
      </c>
      <c r="BK568">
        <v>344111.6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568"/>
  <sheetViews>
    <sheetView workbookViewId="0">
      <selection activeCell="G22" sqref="G22"/>
    </sheetView>
  </sheetViews>
  <sheetFormatPr defaultRowHeight="14.4" x14ac:dyDescent="0.3"/>
  <cols>
    <col min="3" max="4" width="9.5546875" customWidth="1"/>
  </cols>
  <sheetData>
    <row r="1" spans="1:64" x14ac:dyDescent="0.3">
      <c r="A1" t="s">
        <v>0</v>
      </c>
      <c r="B1" t="s">
        <v>1</v>
      </c>
      <c r="C1" t="s">
        <v>5</v>
      </c>
      <c r="D1" t="s">
        <v>6</v>
      </c>
      <c r="E1" t="s">
        <v>381</v>
      </c>
      <c r="F1" t="s">
        <v>382</v>
      </c>
      <c r="G1" s="1">
        <v>44927</v>
      </c>
      <c r="H1" s="1">
        <v>44934</v>
      </c>
      <c r="I1" s="1">
        <v>44941</v>
      </c>
      <c r="J1" s="1">
        <v>44948</v>
      </c>
      <c r="K1" s="1">
        <v>44955</v>
      </c>
      <c r="L1" s="1">
        <v>44962</v>
      </c>
      <c r="M1" s="1">
        <v>44969</v>
      </c>
      <c r="N1" s="1">
        <v>44976</v>
      </c>
      <c r="O1" s="1">
        <v>44983</v>
      </c>
      <c r="P1" s="1">
        <v>44990</v>
      </c>
      <c r="Q1" s="1">
        <v>44997</v>
      </c>
      <c r="R1" s="1">
        <v>45004</v>
      </c>
      <c r="S1" s="1">
        <v>45011</v>
      </c>
      <c r="T1" s="1">
        <v>45018</v>
      </c>
      <c r="U1" s="1">
        <v>45025</v>
      </c>
      <c r="V1" s="1">
        <v>45032</v>
      </c>
      <c r="W1" s="1">
        <v>45039</v>
      </c>
      <c r="X1" s="1">
        <v>45046</v>
      </c>
      <c r="Y1" s="1">
        <v>45053</v>
      </c>
      <c r="Z1" s="1">
        <v>45060</v>
      </c>
      <c r="AA1" s="1">
        <v>45067</v>
      </c>
      <c r="AB1" s="1">
        <v>45074</v>
      </c>
      <c r="AC1" s="1">
        <v>45081</v>
      </c>
      <c r="AD1" s="1">
        <v>45088</v>
      </c>
      <c r="AE1" s="1">
        <v>45095</v>
      </c>
      <c r="AF1" s="1">
        <v>45102</v>
      </c>
      <c r="AG1" s="1">
        <v>45109</v>
      </c>
      <c r="AH1" s="1">
        <v>45116</v>
      </c>
      <c r="AI1" s="1">
        <v>45123</v>
      </c>
      <c r="AJ1" s="1">
        <v>45130</v>
      </c>
      <c r="AK1" s="1">
        <v>45137</v>
      </c>
      <c r="AL1" s="1">
        <v>45144</v>
      </c>
      <c r="AM1" s="1">
        <v>45151</v>
      </c>
      <c r="AN1" s="1">
        <v>45158</v>
      </c>
      <c r="AO1" s="1">
        <v>45165</v>
      </c>
      <c r="AP1" s="1">
        <v>45172</v>
      </c>
      <c r="AQ1" s="1">
        <v>45179</v>
      </c>
      <c r="AR1" s="1">
        <v>45186</v>
      </c>
      <c r="AS1" s="1">
        <v>45193</v>
      </c>
      <c r="AT1" s="1">
        <v>45200</v>
      </c>
      <c r="AU1" s="1">
        <v>45207</v>
      </c>
      <c r="AV1" s="1">
        <v>45214</v>
      </c>
      <c r="AW1" s="1">
        <v>45221</v>
      </c>
      <c r="AX1" s="1">
        <v>45228</v>
      </c>
      <c r="AY1" s="1">
        <v>45235</v>
      </c>
      <c r="AZ1" s="1">
        <v>45242</v>
      </c>
      <c r="BA1" s="1">
        <v>45249</v>
      </c>
      <c r="BB1" s="1">
        <v>45256</v>
      </c>
      <c r="BC1" s="1">
        <v>45263</v>
      </c>
      <c r="BD1" s="1">
        <v>45270</v>
      </c>
      <c r="BE1" s="1">
        <v>45277</v>
      </c>
      <c r="BF1" s="1">
        <v>45284</v>
      </c>
      <c r="BG1" s="1">
        <v>45291</v>
      </c>
      <c r="BH1" s="1">
        <v>45298</v>
      </c>
      <c r="BI1" s="1">
        <v>45305</v>
      </c>
      <c r="BJ1" s="1">
        <v>45312</v>
      </c>
      <c r="BK1" s="1">
        <v>45319</v>
      </c>
      <c r="BL1" s="1">
        <v>45326</v>
      </c>
    </row>
    <row r="2" spans="1:64" x14ac:dyDescent="0.3">
      <c r="A2" t="s">
        <v>19</v>
      </c>
      <c r="B2" t="s">
        <v>125</v>
      </c>
      <c r="C2" t="s">
        <v>128</v>
      </c>
      <c r="D2" t="s">
        <v>40</v>
      </c>
      <c r="E2" t="s">
        <v>383</v>
      </c>
      <c r="F2" t="s">
        <v>384</v>
      </c>
      <c r="AB2">
        <v>13720962.130000001</v>
      </c>
      <c r="AC2">
        <v>6860481.0700000003</v>
      </c>
    </row>
    <row r="3" spans="1:64" x14ac:dyDescent="0.3">
      <c r="A3" t="s">
        <v>19</v>
      </c>
      <c r="B3" t="s">
        <v>125</v>
      </c>
      <c r="C3" t="s">
        <v>128</v>
      </c>
      <c r="D3" t="s">
        <v>40</v>
      </c>
      <c r="E3" t="s">
        <v>383</v>
      </c>
      <c r="F3" t="s">
        <v>385</v>
      </c>
      <c r="AD3">
        <v>20581443.199999999</v>
      </c>
    </row>
    <row r="4" spans="1:64" x14ac:dyDescent="0.3">
      <c r="A4" t="s">
        <v>19</v>
      </c>
      <c r="B4" t="s">
        <v>125</v>
      </c>
      <c r="C4" t="s">
        <v>128</v>
      </c>
      <c r="D4" t="s">
        <v>40</v>
      </c>
      <c r="E4" t="s">
        <v>383</v>
      </c>
      <c r="F4" t="s">
        <v>386</v>
      </c>
    </row>
    <row r="5" spans="1:64" x14ac:dyDescent="0.3">
      <c r="A5" t="s">
        <v>19</v>
      </c>
      <c r="B5" t="s">
        <v>131</v>
      </c>
      <c r="C5" t="s">
        <v>128</v>
      </c>
      <c r="D5" t="s">
        <v>40</v>
      </c>
      <c r="E5" t="s">
        <v>383</v>
      </c>
      <c r="F5" t="s">
        <v>384</v>
      </c>
      <c r="AI5">
        <v>6068664.7999999998</v>
      </c>
    </row>
    <row r="6" spans="1:64" x14ac:dyDescent="0.3">
      <c r="A6" t="s">
        <v>19</v>
      </c>
      <c r="B6" t="s">
        <v>131</v>
      </c>
      <c r="C6" t="s">
        <v>128</v>
      </c>
      <c r="D6" t="s">
        <v>40</v>
      </c>
      <c r="E6" t="s">
        <v>383</v>
      </c>
      <c r="F6" t="s">
        <v>385</v>
      </c>
      <c r="AJ6">
        <v>6068664.7999999998</v>
      </c>
    </row>
    <row r="7" spans="1:64" x14ac:dyDescent="0.3">
      <c r="A7" t="s">
        <v>19</v>
      </c>
      <c r="B7" t="s">
        <v>131</v>
      </c>
      <c r="C7" t="s">
        <v>128</v>
      </c>
      <c r="D7" t="s">
        <v>40</v>
      </c>
      <c r="E7" t="s">
        <v>383</v>
      </c>
      <c r="F7" t="s">
        <v>386</v>
      </c>
    </row>
    <row r="8" spans="1:64" x14ac:dyDescent="0.3">
      <c r="A8" t="s">
        <v>19</v>
      </c>
      <c r="B8" t="s">
        <v>134</v>
      </c>
      <c r="C8" t="s">
        <v>128</v>
      </c>
      <c r="D8" t="s">
        <v>45</v>
      </c>
      <c r="E8" t="s">
        <v>383</v>
      </c>
      <c r="F8" t="s">
        <v>384</v>
      </c>
      <c r="Y8">
        <v>55022560.439999998</v>
      </c>
      <c r="Z8">
        <v>15720731.560000001</v>
      </c>
    </row>
    <row r="9" spans="1:64" x14ac:dyDescent="0.3">
      <c r="A9" t="s">
        <v>19</v>
      </c>
      <c r="B9" t="s">
        <v>134</v>
      </c>
      <c r="C9" t="s">
        <v>128</v>
      </c>
      <c r="D9" t="s">
        <v>45</v>
      </c>
      <c r="E9" t="s">
        <v>383</v>
      </c>
      <c r="F9" t="s">
        <v>385</v>
      </c>
      <c r="AA9">
        <v>43793466.479999997</v>
      </c>
      <c r="AB9">
        <v>26949825.52</v>
      </c>
    </row>
    <row r="10" spans="1:64" x14ac:dyDescent="0.3">
      <c r="A10" t="s">
        <v>19</v>
      </c>
      <c r="B10" t="s">
        <v>134</v>
      </c>
      <c r="C10" t="s">
        <v>128</v>
      </c>
      <c r="D10" t="s">
        <v>45</v>
      </c>
      <c r="E10" t="s">
        <v>383</v>
      </c>
      <c r="F10" t="s">
        <v>386</v>
      </c>
    </row>
    <row r="11" spans="1:64" x14ac:dyDescent="0.3">
      <c r="A11" t="s">
        <v>19</v>
      </c>
      <c r="B11" t="s">
        <v>138</v>
      </c>
      <c r="C11" t="s">
        <v>128</v>
      </c>
      <c r="D11" t="s">
        <v>31</v>
      </c>
      <c r="E11" t="s">
        <v>383</v>
      </c>
      <c r="F11" t="s">
        <v>384</v>
      </c>
      <c r="AK11">
        <v>26055725.329999998</v>
      </c>
      <c r="AL11">
        <v>20844580.27</v>
      </c>
    </row>
    <row r="12" spans="1:64" x14ac:dyDescent="0.3">
      <c r="A12" t="s">
        <v>19</v>
      </c>
      <c r="B12" t="s">
        <v>138</v>
      </c>
      <c r="C12" t="s">
        <v>128</v>
      </c>
      <c r="D12" t="s">
        <v>31</v>
      </c>
      <c r="E12" t="s">
        <v>383</v>
      </c>
      <c r="F12" t="s">
        <v>385</v>
      </c>
      <c r="AK12">
        <v>26055725.329999998</v>
      </c>
      <c r="AL12">
        <v>20844580.27</v>
      </c>
    </row>
    <row r="13" spans="1:64" x14ac:dyDescent="0.3">
      <c r="A13" t="s">
        <v>19</v>
      </c>
      <c r="B13" t="s">
        <v>138</v>
      </c>
      <c r="C13" t="s">
        <v>128</v>
      </c>
      <c r="D13" t="s">
        <v>31</v>
      </c>
      <c r="E13" t="s">
        <v>383</v>
      </c>
      <c r="F13" t="s">
        <v>386</v>
      </c>
    </row>
    <row r="14" spans="1:64" x14ac:dyDescent="0.3">
      <c r="A14" t="s">
        <v>19</v>
      </c>
      <c r="B14" t="s">
        <v>141</v>
      </c>
      <c r="C14" t="s">
        <v>128</v>
      </c>
      <c r="D14" t="s">
        <v>31</v>
      </c>
      <c r="E14" t="s">
        <v>383</v>
      </c>
      <c r="F14" t="s">
        <v>384</v>
      </c>
      <c r="AE14">
        <v>3666166.93</v>
      </c>
      <c r="AG14">
        <v>1833083.47</v>
      </c>
    </row>
    <row r="15" spans="1:64" x14ac:dyDescent="0.3">
      <c r="A15" t="s">
        <v>19</v>
      </c>
      <c r="B15" t="s">
        <v>141</v>
      </c>
      <c r="C15" t="s">
        <v>128</v>
      </c>
      <c r="D15" t="s">
        <v>31</v>
      </c>
      <c r="E15" t="s">
        <v>383</v>
      </c>
      <c r="F15" t="s">
        <v>385</v>
      </c>
      <c r="AJ15">
        <v>5499250.4000000004</v>
      </c>
    </row>
    <row r="16" spans="1:64" x14ac:dyDescent="0.3">
      <c r="A16" t="s">
        <v>19</v>
      </c>
      <c r="B16" t="s">
        <v>141</v>
      </c>
      <c r="C16" t="s">
        <v>128</v>
      </c>
      <c r="D16" t="s">
        <v>31</v>
      </c>
      <c r="E16" t="s">
        <v>383</v>
      </c>
      <c r="F16" t="s">
        <v>386</v>
      </c>
    </row>
    <row r="17" spans="1:41" x14ac:dyDescent="0.3">
      <c r="A17" t="s">
        <v>19</v>
      </c>
      <c r="B17" t="s">
        <v>144</v>
      </c>
      <c r="C17" t="s">
        <v>128</v>
      </c>
      <c r="D17" t="s">
        <v>61</v>
      </c>
      <c r="E17" t="s">
        <v>383</v>
      </c>
      <c r="F17" t="s">
        <v>384</v>
      </c>
      <c r="AJ17">
        <v>594660</v>
      </c>
    </row>
    <row r="18" spans="1:41" x14ac:dyDescent="0.3">
      <c r="A18" t="s">
        <v>19</v>
      </c>
      <c r="B18" t="s">
        <v>144</v>
      </c>
      <c r="C18" t="s">
        <v>128</v>
      </c>
      <c r="D18" t="s">
        <v>61</v>
      </c>
      <c r="E18" t="s">
        <v>383</v>
      </c>
      <c r="F18" t="s">
        <v>385</v>
      </c>
      <c r="AN18">
        <v>204719.02</v>
      </c>
      <c r="AO18">
        <v>389940.98</v>
      </c>
    </row>
    <row r="19" spans="1:41" x14ac:dyDescent="0.3">
      <c r="A19" t="s">
        <v>19</v>
      </c>
      <c r="B19" t="s">
        <v>144</v>
      </c>
      <c r="C19" t="s">
        <v>128</v>
      </c>
      <c r="D19" t="s">
        <v>61</v>
      </c>
      <c r="E19" t="s">
        <v>383</v>
      </c>
      <c r="F19" t="s">
        <v>386</v>
      </c>
    </row>
    <row r="20" spans="1:41" x14ac:dyDescent="0.3">
      <c r="A20" t="s">
        <v>19</v>
      </c>
      <c r="B20" t="s">
        <v>148</v>
      </c>
      <c r="C20" t="s">
        <v>128</v>
      </c>
      <c r="D20" t="s">
        <v>64</v>
      </c>
      <c r="E20" t="s">
        <v>383</v>
      </c>
      <c r="F20" t="s">
        <v>384</v>
      </c>
      <c r="AJ20">
        <v>400184.8</v>
      </c>
    </row>
    <row r="21" spans="1:41" x14ac:dyDescent="0.3">
      <c r="A21" t="s">
        <v>19</v>
      </c>
      <c r="B21" t="s">
        <v>148</v>
      </c>
      <c r="C21" t="s">
        <v>128</v>
      </c>
      <c r="D21" t="s">
        <v>64</v>
      </c>
      <c r="E21" t="s">
        <v>383</v>
      </c>
      <c r="F21" t="s">
        <v>385</v>
      </c>
      <c r="AJ21">
        <v>400184.8</v>
      </c>
    </row>
    <row r="22" spans="1:41" x14ac:dyDescent="0.3">
      <c r="A22" t="s">
        <v>19</v>
      </c>
      <c r="B22" t="s">
        <v>148</v>
      </c>
      <c r="C22" t="s">
        <v>128</v>
      </c>
      <c r="D22" t="s">
        <v>64</v>
      </c>
      <c r="E22" t="s">
        <v>383</v>
      </c>
      <c r="F22" t="s">
        <v>386</v>
      </c>
    </row>
    <row r="23" spans="1:41" x14ac:dyDescent="0.3">
      <c r="A23" t="s">
        <v>19</v>
      </c>
      <c r="B23" t="s">
        <v>151</v>
      </c>
      <c r="C23" t="s">
        <v>128</v>
      </c>
      <c r="D23" t="s">
        <v>35</v>
      </c>
      <c r="E23" t="s">
        <v>383</v>
      </c>
      <c r="F23" t="s">
        <v>384</v>
      </c>
      <c r="AL23">
        <v>4371866</v>
      </c>
      <c r="AM23">
        <v>4371866</v>
      </c>
    </row>
    <row r="24" spans="1:41" x14ac:dyDescent="0.3">
      <c r="A24" t="s">
        <v>19</v>
      </c>
      <c r="B24" t="s">
        <v>151</v>
      </c>
      <c r="C24" t="s">
        <v>128</v>
      </c>
      <c r="D24" t="s">
        <v>35</v>
      </c>
      <c r="E24" t="s">
        <v>383</v>
      </c>
      <c r="F24" t="s">
        <v>385</v>
      </c>
      <c r="AL24">
        <v>4371866</v>
      </c>
      <c r="AM24">
        <v>4371866</v>
      </c>
    </row>
    <row r="25" spans="1:41" x14ac:dyDescent="0.3">
      <c r="A25" t="s">
        <v>19</v>
      </c>
      <c r="B25" t="s">
        <v>151</v>
      </c>
      <c r="C25" t="s">
        <v>128</v>
      </c>
      <c r="D25" t="s">
        <v>35</v>
      </c>
      <c r="E25" t="s">
        <v>383</v>
      </c>
      <c r="F25" t="s">
        <v>386</v>
      </c>
    </row>
    <row r="26" spans="1:41" x14ac:dyDescent="0.3">
      <c r="A26" t="s">
        <v>19</v>
      </c>
      <c r="B26" t="s">
        <v>155</v>
      </c>
      <c r="C26" t="s">
        <v>128</v>
      </c>
      <c r="D26" t="s">
        <v>35</v>
      </c>
      <c r="E26" t="s">
        <v>383</v>
      </c>
      <c r="F26" t="s">
        <v>384</v>
      </c>
      <c r="AK26">
        <v>1846608</v>
      </c>
      <c r="AL26">
        <v>1477286.4</v>
      </c>
    </row>
    <row r="27" spans="1:41" x14ac:dyDescent="0.3">
      <c r="A27" t="s">
        <v>19</v>
      </c>
      <c r="B27" t="s">
        <v>155</v>
      </c>
      <c r="C27" t="s">
        <v>128</v>
      </c>
      <c r="D27" t="s">
        <v>35</v>
      </c>
      <c r="E27" t="s">
        <v>383</v>
      </c>
      <c r="F27" t="s">
        <v>385</v>
      </c>
      <c r="AK27">
        <v>1846608</v>
      </c>
      <c r="AL27">
        <v>1477286.4</v>
      </c>
    </row>
    <row r="28" spans="1:41" x14ac:dyDescent="0.3">
      <c r="A28" t="s">
        <v>19</v>
      </c>
      <c r="B28" t="s">
        <v>155</v>
      </c>
      <c r="C28" t="s">
        <v>128</v>
      </c>
      <c r="D28" t="s">
        <v>35</v>
      </c>
      <c r="E28" t="s">
        <v>383</v>
      </c>
      <c r="F28" t="s">
        <v>386</v>
      </c>
    </row>
    <row r="29" spans="1:41" x14ac:dyDescent="0.3">
      <c r="A29" t="s">
        <v>19</v>
      </c>
      <c r="B29" t="s">
        <v>158</v>
      </c>
      <c r="C29" t="s">
        <v>161</v>
      </c>
      <c r="D29" t="s">
        <v>40</v>
      </c>
      <c r="E29" t="s">
        <v>383</v>
      </c>
      <c r="F29" t="s">
        <v>384</v>
      </c>
      <c r="J29">
        <v>266754.40000000002</v>
      </c>
      <c r="K29">
        <v>373456.16</v>
      </c>
      <c r="L29">
        <v>373456.16</v>
      </c>
      <c r="M29">
        <v>53350.879999999997</v>
      </c>
    </row>
    <row r="30" spans="1:41" x14ac:dyDescent="0.3">
      <c r="A30" t="s">
        <v>19</v>
      </c>
      <c r="B30" t="s">
        <v>158</v>
      </c>
      <c r="C30" t="s">
        <v>161</v>
      </c>
      <c r="D30" t="s">
        <v>40</v>
      </c>
      <c r="E30" t="s">
        <v>383</v>
      </c>
      <c r="F30" t="s">
        <v>385</v>
      </c>
      <c r="J30">
        <v>266754.40000000002</v>
      </c>
      <c r="K30">
        <v>373456.16</v>
      </c>
      <c r="L30">
        <v>373456.16</v>
      </c>
      <c r="M30">
        <v>53350.879999999997</v>
      </c>
    </row>
    <row r="31" spans="1:41" x14ac:dyDescent="0.3">
      <c r="A31" t="s">
        <v>19</v>
      </c>
      <c r="B31" t="s">
        <v>158</v>
      </c>
      <c r="C31" t="s">
        <v>161</v>
      </c>
      <c r="D31" t="s">
        <v>40</v>
      </c>
      <c r="E31" t="s">
        <v>383</v>
      </c>
      <c r="F31" t="s">
        <v>386</v>
      </c>
    </row>
    <row r="32" spans="1:41" x14ac:dyDescent="0.3">
      <c r="A32" t="s">
        <v>19</v>
      </c>
      <c r="B32" t="s">
        <v>164</v>
      </c>
      <c r="C32" t="s">
        <v>161</v>
      </c>
      <c r="D32" t="s">
        <v>40</v>
      </c>
      <c r="E32" t="s">
        <v>383</v>
      </c>
      <c r="F32" t="s">
        <v>384</v>
      </c>
      <c r="X32">
        <v>580190.88</v>
      </c>
      <c r="Y32">
        <v>386793.92</v>
      </c>
    </row>
    <row r="33" spans="1:41" x14ac:dyDescent="0.3">
      <c r="A33" t="s">
        <v>19</v>
      </c>
      <c r="B33" t="s">
        <v>164</v>
      </c>
      <c r="C33" t="s">
        <v>161</v>
      </c>
      <c r="D33" t="s">
        <v>40</v>
      </c>
      <c r="E33" t="s">
        <v>383</v>
      </c>
      <c r="F33" t="s">
        <v>385</v>
      </c>
      <c r="X33">
        <v>193396.96</v>
      </c>
      <c r="Y33">
        <v>676889.36</v>
      </c>
      <c r="Z33">
        <v>96698.48</v>
      </c>
    </row>
    <row r="34" spans="1:41" x14ac:dyDescent="0.3">
      <c r="A34" t="s">
        <v>19</v>
      </c>
      <c r="B34" t="s">
        <v>164</v>
      </c>
      <c r="C34" t="s">
        <v>161</v>
      </c>
      <c r="D34" t="s">
        <v>40</v>
      </c>
      <c r="E34" t="s">
        <v>383</v>
      </c>
      <c r="F34" t="s">
        <v>386</v>
      </c>
    </row>
    <row r="35" spans="1:41" x14ac:dyDescent="0.3">
      <c r="A35" t="s">
        <v>19</v>
      </c>
      <c r="B35" t="s">
        <v>167</v>
      </c>
      <c r="C35" t="s">
        <v>161</v>
      </c>
      <c r="D35" t="s">
        <v>40</v>
      </c>
      <c r="E35" t="s">
        <v>383</v>
      </c>
      <c r="F35" t="s">
        <v>384</v>
      </c>
      <c r="M35">
        <v>60019.8</v>
      </c>
      <c r="N35">
        <v>70023.100000000006</v>
      </c>
      <c r="O35">
        <v>30009.9</v>
      </c>
    </row>
    <row r="36" spans="1:41" x14ac:dyDescent="0.3">
      <c r="A36" t="s">
        <v>19</v>
      </c>
      <c r="B36" t="s">
        <v>167</v>
      </c>
      <c r="C36" t="s">
        <v>161</v>
      </c>
      <c r="D36" t="s">
        <v>40</v>
      </c>
      <c r="E36" t="s">
        <v>383</v>
      </c>
      <c r="F36" t="s">
        <v>385</v>
      </c>
      <c r="M36">
        <v>60019.8</v>
      </c>
      <c r="N36">
        <v>70023.100000000006</v>
      </c>
      <c r="O36">
        <v>30009.9</v>
      </c>
    </row>
    <row r="37" spans="1:41" x14ac:dyDescent="0.3">
      <c r="A37" t="s">
        <v>19</v>
      </c>
      <c r="B37" t="s">
        <v>167</v>
      </c>
      <c r="C37" t="s">
        <v>161</v>
      </c>
      <c r="D37" t="s">
        <v>40</v>
      </c>
      <c r="E37" t="s">
        <v>383</v>
      </c>
      <c r="F37" t="s">
        <v>386</v>
      </c>
    </row>
    <row r="38" spans="1:41" x14ac:dyDescent="0.3">
      <c r="A38" t="s">
        <v>19</v>
      </c>
      <c r="B38" t="s">
        <v>171</v>
      </c>
      <c r="C38" t="s">
        <v>161</v>
      </c>
      <c r="D38" t="s">
        <v>40</v>
      </c>
      <c r="E38" t="s">
        <v>383</v>
      </c>
      <c r="F38" t="s">
        <v>384</v>
      </c>
      <c r="O38">
        <v>316770.93</v>
      </c>
      <c r="P38">
        <v>554349.13</v>
      </c>
      <c r="Q38">
        <v>554349.13</v>
      </c>
      <c r="R38">
        <v>475156.4</v>
      </c>
    </row>
    <row r="39" spans="1:41" x14ac:dyDescent="0.3">
      <c r="A39" t="s">
        <v>19</v>
      </c>
      <c r="B39" t="s">
        <v>171</v>
      </c>
      <c r="C39" t="s">
        <v>161</v>
      </c>
      <c r="D39" t="s">
        <v>40</v>
      </c>
      <c r="E39" t="s">
        <v>383</v>
      </c>
      <c r="F39" t="s">
        <v>385</v>
      </c>
      <c r="O39">
        <v>316770.93</v>
      </c>
      <c r="P39">
        <v>554349.13</v>
      </c>
      <c r="Q39">
        <v>554349.13</v>
      </c>
      <c r="R39">
        <v>475156.4</v>
      </c>
    </row>
    <row r="40" spans="1:41" x14ac:dyDescent="0.3">
      <c r="A40" t="s">
        <v>19</v>
      </c>
      <c r="B40" t="s">
        <v>171</v>
      </c>
      <c r="C40" t="s">
        <v>161</v>
      </c>
      <c r="D40" t="s">
        <v>40</v>
      </c>
      <c r="E40" t="s">
        <v>383</v>
      </c>
      <c r="F40" t="s">
        <v>386</v>
      </c>
    </row>
    <row r="41" spans="1:41" x14ac:dyDescent="0.3">
      <c r="A41" t="s">
        <v>19</v>
      </c>
      <c r="B41" t="s">
        <v>175</v>
      </c>
      <c r="C41" t="s">
        <v>161</v>
      </c>
      <c r="D41" t="s">
        <v>40</v>
      </c>
      <c r="E41" t="s">
        <v>383</v>
      </c>
      <c r="F41" t="s">
        <v>384</v>
      </c>
      <c r="R41">
        <v>116163.24</v>
      </c>
      <c r="S41">
        <v>813142.71</v>
      </c>
      <c r="T41">
        <v>813142.71</v>
      </c>
      <c r="U41">
        <v>348489.73</v>
      </c>
    </row>
    <row r="42" spans="1:41" x14ac:dyDescent="0.3">
      <c r="A42" t="s">
        <v>19</v>
      </c>
      <c r="B42" t="s">
        <v>175</v>
      </c>
      <c r="C42" t="s">
        <v>161</v>
      </c>
      <c r="D42" t="s">
        <v>40</v>
      </c>
      <c r="E42" t="s">
        <v>383</v>
      </c>
      <c r="F42" t="s">
        <v>385</v>
      </c>
      <c r="R42">
        <v>104546.92</v>
      </c>
      <c r="S42">
        <v>731828.44</v>
      </c>
      <c r="T42">
        <v>731828.44</v>
      </c>
      <c r="U42">
        <v>522734.6</v>
      </c>
    </row>
    <row r="43" spans="1:41" x14ac:dyDescent="0.3">
      <c r="A43" t="s">
        <v>19</v>
      </c>
      <c r="B43" t="s">
        <v>175</v>
      </c>
      <c r="C43" t="s">
        <v>161</v>
      </c>
      <c r="D43" t="s">
        <v>40</v>
      </c>
      <c r="E43" t="s">
        <v>383</v>
      </c>
      <c r="F43" t="s">
        <v>386</v>
      </c>
    </row>
    <row r="44" spans="1:41" x14ac:dyDescent="0.3">
      <c r="A44" t="s">
        <v>19</v>
      </c>
      <c r="B44" t="s">
        <v>179</v>
      </c>
      <c r="C44" t="s">
        <v>161</v>
      </c>
      <c r="D44" t="s">
        <v>40</v>
      </c>
      <c r="E44" t="s">
        <v>383</v>
      </c>
      <c r="F44" t="s">
        <v>384</v>
      </c>
      <c r="AI44">
        <v>629677.09</v>
      </c>
      <c r="AJ44">
        <v>881547.93</v>
      </c>
      <c r="AK44">
        <v>881547.93</v>
      </c>
      <c r="AL44">
        <v>377806.25</v>
      </c>
    </row>
    <row r="45" spans="1:41" x14ac:dyDescent="0.3">
      <c r="A45" t="s">
        <v>19</v>
      </c>
      <c r="B45" t="s">
        <v>179</v>
      </c>
      <c r="C45" t="s">
        <v>161</v>
      </c>
      <c r="D45" t="s">
        <v>40</v>
      </c>
      <c r="E45" t="s">
        <v>383</v>
      </c>
      <c r="F45" t="s">
        <v>385</v>
      </c>
      <c r="AI45">
        <v>629677.09</v>
      </c>
      <c r="AJ45">
        <v>881547.93</v>
      </c>
      <c r="AK45">
        <v>881547.93</v>
      </c>
      <c r="AL45">
        <v>377806.25</v>
      </c>
    </row>
    <row r="46" spans="1:41" x14ac:dyDescent="0.3">
      <c r="A46" t="s">
        <v>19</v>
      </c>
      <c r="B46" t="s">
        <v>179</v>
      </c>
      <c r="C46" t="s">
        <v>161</v>
      </c>
      <c r="D46" t="s">
        <v>40</v>
      </c>
      <c r="E46" t="s">
        <v>383</v>
      </c>
      <c r="F46" t="s">
        <v>386</v>
      </c>
    </row>
    <row r="47" spans="1:41" x14ac:dyDescent="0.3">
      <c r="A47" t="s">
        <v>19</v>
      </c>
      <c r="B47" t="s">
        <v>183</v>
      </c>
      <c r="C47" t="s">
        <v>161</v>
      </c>
      <c r="D47" t="s">
        <v>40</v>
      </c>
      <c r="E47" t="s">
        <v>383</v>
      </c>
      <c r="F47" t="s">
        <v>384</v>
      </c>
      <c r="AL47">
        <v>171986.53</v>
      </c>
      <c r="AM47">
        <v>300976.42</v>
      </c>
      <c r="AN47">
        <v>300976.42</v>
      </c>
      <c r="AO47">
        <v>42996.63</v>
      </c>
    </row>
    <row r="48" spans="1:41" x14ac:dyDescent="0.3">
      <c r="A48" t="s">
        <v>19</v>
      </c>
      <c r="B48" t="s">
        <v>183</v>
      </c>
      <c r="C48" t="s">
        <v>161</v>
      </c>
      <c r="D48" t="s">
        <v>40</v>
      </c>
      <c r="E48" t="s">
        <v>383</v>
      </c>
      <c r="F48" t="s">
        <v>385</v>
      </c>
      <c r="AL48">
        <v>171986.53</v>
      </c>
      <c r="AM48">
        <v>300976.42</v>
      </c>
      <c r="AN48">
        <v>300976.42</v>
      </c>
      <c r="AO48">
        <v>42996.63</v>
      </c>
    </row>
    <row r="49" spans="1:50" x14ac:dyDescent="0.3">
      <c r="A49" t="s">
        <v>19</v>
      </c>
      <c r="B49" t="s">
        <v>183</v>
      </c>
      <c r="C49" t="s">
        <v>161</v>
      </c>
      <c r="D49" t="s">
        <v>40</v>
      </c>
      <c r="E49" t="s">
        <v>383</v>
      </c>
      <c r="F49" t="s">
        <v>386</v>
      </c>
    </row>
    <row r="50" spans="1:50" x14ac:dyDescent="0.3">
      <c r="A50" t="s">
        <v>19</v>
      </c>
      <c r="B50" t="s">
        <v>187</v>
      </c>
      <c r="C50" t="s">
        <v>161</v>
      </c>
      <c r="D50" t="s">
        <v>45</v>
      </c>
      <c r="E50" t="s">
        <v>383</v>
      </c>
      <c r="F50" t="s">
        <v>384</v>
      </c>
      <c r="AB50">
        <v>1587189.2</v>
      </c>
      <c r="AC50">
        <v>2222064.88</v>
      </c>
      <c r="AD50">
        <v>2222064.88</v>
      </c>
      <c r="AE50">
        <v>1904627.04</v>
      </c>
      <c r="AG50">
        <v>317437.84000000003</v>
      </c>
      <c r="AH50">
        <v>1269751.3600000001</v>
      </c>
    </row>
    <row r="51" spans="1:50" x14ac:dyDescent="0.3">
      <c r="A51" t="s">
        <v>19</v>
      </c>
      <c r="B51" t="s">
        <v>187</v>
      </c>
      <c r="C51" t="s">
        <v>161</v>
      </c>
      <c r="D51" t="s">
        <v>45</v>
      </c>
      <c r="E51" t="s">
        <v>383</v>
      </c>
      <c r="F51" t="s">
        <v>385</v>
      </c>
      <c r="AB51">
        <v>1360447.89</v>
      </c>
      <c r="AC51">
        <v>1904627.04</v>
      </c>
      <c r="AD51">
        <v>1904627.04</v>
      </c>
      <c r="AE51">
        <v>1632537.46</v>
      </c>
      <c r="AG51">
        <v>272089.58</v>
      </c>
      <c r="AH51">
        <v>1904627.04</v>
      </c>
      <c r="AI51">
        <v>544179.15</v>
      </c>
    </row>
    <row r="52" spans="1:50" x14ac:dyDescent="0.3">
      <c r="A52" t="s">
        <v>19</v>
      </c>
      <c r="B52" t="s">
        <v>187</v>
      </c>
      <c r="C52" t="s">
        <v>161</v>
      </c>
      <c r="D52" t="s">
        <v>45</v>
      </c>
      <c r="E52" t="s">
        <v>383</v>
      </c>
      <c r="F52" t="s">
        <v>386</v>
      </c>
    </row>
    <row r="53" spans="1:50" x14ac:dyDescent="0.3">
      <c r="A53" t="s">
        <v>19</v>
      </c>
      <c r="B53" t="s">
        <v>191</v>
      </c>
      <c r="C53" t="s">
        <v>161</v>
      </c>
      <c r="D53" t="s">
        <v>31</v>
      </c>
      <c r="E53" t="s">
        <v>383</v>
      </c>
      <c r="F53" t="s">
        <v>384</v>
      </c>
      <c r="AO53">
        <v>641253.31000000006</v>
      </c>
      <c r="AP53">
        <v>2244386.58</v>
      </c>
      <c r="AQ53">
        <v>2244386.58</v>
      </c>
      <c r="AR53">
        <v>1923759.93</v>
      </c>
    </row>
    <row r="54" spans="1:50" x14ac:dyDescent="0.3">
      <c r="A54" t="s">
        <v>19</v>
      </c>
      <c r="B54" t="s">
        <v>191</v>
      </c>
      <c r="C54" t="s">
        <v>161</v>
      </c>
      <c r="D54" t="s">
        <v>31</v>
      </c>
      <c r="E54" t="s">
        <v>383</v>
      </c>
      <c r="F54" t="s">
        <v>385</v>
      </c>
      <c r="AO54">
        <v>641253.31000000006</v>
      </c>
      <c r="AP54">
        <v>2244386.58</v>
      </c>
      <c r="AQ54">
        <v>2244386.58</v>
      </c>
      <c r="AR54">
        <v>1923759.93</v>
      </c>
    </row>
    <row r="55" spans="1:50" x14ac:dyDescent="0.3">
      <c r="A55" t="s">
        <v>19</v>
      </c>
      <c r="B55" t="s">
        <v>191</v>
      </c>
      <c r="C55" t="s">
        <v>161</v>
      </c>
      <c r="D55" t="s">
        <v>31</v>
      </c>
      <c r="E55" t="s">
        <v>383</v>
      </c>
      <c r="F55" t="s">
        <v>386</v>
      </c>
    </row>
    <row r="56" spans="1:50" x14ac:dyDescent="0.3">
      <c r="A56" t="s">
        <v>19</v>
      </c>
      <c r="B56" t="s">
        <v>197</v>
      </c>
      <c r="C56" t="s">
        <v>161</v>
      </c>
      <c r="D56" t="s">
        <v>61</v>
      </c>
      <c r="E56" t="s">
        <v>383</v>
      </c>
      <c r="F56" t="s">
        <v>384</v>
      </c>
      <c r="AO56">
        <v>17788.98</v>
      </c>
      <c r="AP56">
        <v>62261.42</v>
      </c>
    </row>
    <row r="57" spans="1:50" x14ac:dyDescent="0.3">
      <c r="A57" t="s">
        <v>19</v>
      </c>
      <c r="B57" t="s">
        <v>197</v>
      </c>
      <c r="C57" t="s">
        <v>161</v>
      </c>
      <c r="D57" t="s">
        <v>61</v>
      </c>
      <c r="E57" t="s">
        <v>383</v>
      </c>
      <c r="F57" t="s">
        <v>385</v>
      </c>
      <c r="AO57">
        <v>17788.98</v>
      </c>
      <c r="AP57">
        <v>62261.42</v>
      </c>
    </row>
    <row r="58" spans="1:50" x14ac:dyDescent="0.3">
      <c r="A58" t="s">
        <v>19</v>
      </c>
      <c r="B58" t="s">
        <v>197</v>
      </c>
      <c r="C58" t="s">
        <v>161</v>
      </c>
      <c r="D58" t="s">
        <v>61</v>
      </c>
      <c r="E58" t="s">
        <v>383</v>
      </c>
      <c r="F58" t="s">
        <v>386</v>
      </c>
    </row>
    <row r="59" spans="1:50" x14ac:dyDescent="0.3">
      <c r="A59" t="s">
        <v>19</v>
      </c>
      <c r="B59" t="s">
        <v>202</v>
      </c>
      <c r="C59" t="s">
        <v>161</v>
      </c>
      <c r="D59" t="s">
        <v>64</v>
      </c>
      <c r="E59" t="s">
        <v>383</v>
      </c>
      <c r="F59" t="s">
        <v>384</v>
      </c>
      <c r="AQ59">
        <v>37709.839999999997</v>
      </c>
      <c r="AR59">
        <v>16161.36</v>
      </c>
    </row>
    <row r="60" spans="1:50" x14ac:dyDescent="0.3">
      <c r="A60" t="s">
        <v>19</v>
      </c>
      <c r="B60" t="s">
        <v>202</v>
      </c>
      <c r="C60" t="s">
        <v>161</v>
      </c>
      <c r="D60" t="s">
        <v>64</v>
      </c>
      <c r="E60" t="s">
        <v>383</v>
      </c>
      <c r="F60" t="s">
        <v>385</v>
      </c>
      <c r="AQ60">
        <v>37709.839999999997</v>
      </c>
      <c r="AR60">
        <v>16161.36</v>
      </c>
    </row>
    <row r="61" spans="1:50" x14ac:dyDescent="0.3">
      <c r="A61" t="s">
        <v>19</v>
      </c>
      <c r="B61" t="s">
        <v>202</v>
      </c>
      <c r="C61" t="s">
        <v>161</v>
      </c>
      <c r="D61" t="s">
        <v>64</v>
      </c>
      <c r="E61" t="s">
        <v>383</v>
      </c>
      <c r="F61" t="s">
        <v>386</v>
      </c>
    </row>
    <row r="62" spans="1:50" x14ac:dyDescent="0.3">
      <c r="A62" t="s">
        <v>19</v>
      </c>
      <c r="B62" t="s">
        <v>205</v>
      </c>
      <c r="C62" t="s">
        <v>161</v>
      </c>
      <c r="D62" t="s">
        <v>35</v>
      </c>
      <c r="E62" t="s">
        <v>383</v>
      </c>
      <c r="F62" t="s">
        <v>384</v>
      </c>
      <c r="AR62">
        <v>58017.43</v>
      </c>
      <c r="AS62">
        <v>406122</v>
      </c>
      <c r="AT62">
        <v>406122</v>
      </c>
      <c r="AU62">
        <v>406122</v>
      </c>
      <c r="AV62">
        <v>348104.57</v>
      </c>
    </row>
    <row r="63" spans="1:50" x14ac:dyDescent="0.3">
      <c r="A63" t="s">
        <v>19</v>
      </c>
      <c r="B63" t="s">
        <v>205</v>
      </c>
      <c r="C63" t="s">
        <v>161</v>
      </c>
      <c r="D63" t="s">
        <v>35</v>
      </c>
      <c r="E63" t="s">
        <v>383</v>
      </c>
      <c r="F63" t="s">
        <v>385</v>
      </c>
      <c r="AR63">
        <v>37488.18</v>
      </c>
      <c r="AS63">
        <v>262417.28999999998</v>
      </c>
      <c r="AT63">
        <v>262417.28999999998</v>
      </c>
      <c r="AU63">
        <v>262417.28999999998</v>
      </c>
      <c r="AV63">
        <v>262417.28999999998</v>
      </c>
      <c r="AW63">
        <v>262417.28999999998</v>
      </c>
      <c r="AX63">
        <v>112464.55</v>
      </c>
    </row>
    <row r="64" spans="1:50" x14ac:dyDescent="0.3">
      <c r="A64" t="s">
        <v>19</v>
      </c>
      <c r="B64" t="s">
        <v>205</v>
      </c>
      <c r="C64" t="s">
        <v>161</v>
      </c>
      <c r="D64" t="s">
        <v>35</v>
      </c>
      <c r="E64" t="s">
        <v>383</v>
      </c>
      <c r="F64" t="s">
        <v>386</v>
      </c>
      <c r="AX64">
        <v>162448.79999999999</v>
      </c>
    </row>
    <row r="65" spans="1:42" x14ac:dyDescent="0.3">
      <c r="A65" t="s">
        <v>19</v>
      </c>
      <c r="B65" t="s">
        <v>212</v>
      </c>
      <c r="C65" t="s">
        <v>161</v>
      </c>
      <c r="D65" t="s">
        <v>40</v>
      </c>
      <c r="E65" t="s">
        <v>383</v>
      </c>
      <c r="F65" t="s">
        <v>384</v>
      </c>
      <c r="M65">
        <v>320105.28000000003</v>
      </c>
      <c r="N65">
        <v>373456.16</v>
      </c>
      <c r="O65">
        <v>373456.16</v>
      </c>
    </row>
    <row r="66" spans="1:42" x14ac:dyDescent="0.3">
      <c r="A66" t="s">
        <v>19</v>
      </c>
      <c r="B66" t="s">
        <v>212</v>
      </c>
      <c r="C66" t="s">
        <v>161</v>
      </c>
      <c r="D66" t="s">
        <v>40</v>
      </c>
      <c r="E66" t="s">
        <v>383</v>
      </c>
      <c r="F66" t="s">
        <v>385</v>
      </c>
      <c r="M66">
        <v>320105.28000000003</v>
      </c>
      <c r="N66">
        <v>373456.16</v>
      </c>
      <c r="O66">
        <v>373456.16</v>
      </c>
    </row>
    <row r="67" spans="1:42" x14ac:dyDescent="0.3">
      <c r="A67" t="s">
        <v>19</v>
      </c>
      <c r="B67" t="s">
        <v>212</v>
      </c>
      <c r="C67" t="s">
        <v>161</v>
      </c>
      <c r="D67" t="s">
        <v>40</v>
      </c>
      <c r="E67" t="s">
        <v>383</v>
      </c>
      <c r="F67" t="s">
        <v>386</v>
      </c>
    </row>
    <row r="68" spans="1:42" x14ac:dyDescent="0.3">
      <c r="A68" t="s">
        <v>19</v>
      </c>
      <c r="B68" t="s">
        <v>215</v>
      </c>
      <c r="C68" t="s">
        <v>161</v>
      </c>
      <c r="D68" t="s">
        <v>40</v>
      </c>
      <c r="E68" t="s">
        <v>383</v>
      </c>
      <c r="F68" t="s">
        <v>384</v>
      </c>
      <c r="AG68">
        <v>96698.48</v>
      </c>
      <c r="AH68">
        <v>676889.36</v>
      </c>
      <c r="AI68">
        <v>193396.96</v>
      </c>
    </row>
    <row r="69" spans="1:42" x14ac:dyDescent="0.3">
      <c r="A69" t="s">
        <v>19</v>
      </c>
      <c r="B69" t="s">
        <v>215</v>
      </c>
      <c r="C69" t="s">
        <v>161</v>
      </c>
      <c r="D69" t="s">
        <v>40</v>
      </c>
      <c r="E69" t="s">
        <v>383</v>
      </c>
      <c r="F69" t="s">
        <v>385</v>
      </c>
      <c r="AG69">
        <v>96698.48</v>
      </c>
      <c r="AH69">
        <v>676889.36</v>
      </c>
      <c r="AI69">
        <v>193396.96</v>
      </c>
    </row>
    <row r="70" spans="1:42" x14ac:dyDescent="0.3">
      <c r="A70" t="s">
        <v>19</v>
      </c>
      <c r="B70" t="s">
        <v>215</v>
      </c>
      <c r="C70" t="s">
        <v>161</v>
      </c>
      <c r="D70" t="s">
        <v>40</v>
      </c>
      <c r="E70" t="s">
        <v>383</v>
      </c>
      <c r="F70" t="s">
        <v>386</v>
      </c>
    </row>
    <row r="71" spans="1:42" x14ac:dyDescent="0.3">
      <c r="A71" t="s">
        <v>19</v>
      </c>
      <c r="B71" t="s">
        <v>217</v>
      </c>
      <c r="C71" t="s">
        <v>161</v>
      </c>
      <c r="D71" t="s">
        <v>40</v>
      </c>
      <c r="E71" t="s">
        <v>383</v>
      </c>
      <c r="F71" t="s">
        <v>384</v>
      </c>
      <c r="P71">
        <v>70023.100000000006</v>
      </c>
      <c r="Q71">
        <v>70023.100000000006</v>
      </c>
      <c r="R71">
        <v>20006.599999999999</v>
      </c>
    </row>
    <row r="72" spans="1:42" x14ac:dyDescent="0.3">
      <c r="A72" t="s">
        <v>19</v>
      </c>
      <c r="B72" t="s">
        <v>217</v>
      </c>
      <c r="C72" t="s">
        <v>161</v>
      </c>
      <c r="D72" t="s">
        <v>40</v>
      </c>
      <c r="E72" t="s">
        <v>383</v>
      </c>
      <c r="F72" t="s">
        <v>385</v>
      </c>
      <c r="P72">
        <v>70023.100000000006</v>
      </c>
      <c r="Q72">
        <v>70023.100000000006</v>
      </c>
      <c r="R72">
        <v>20006.599999999999</v>
      </c>
    </row>
    <row r="73" spans="1:42" x14ac:dyDescent="0.3">
      <c r="A73" t="s">
        <v>19</v>
      </c>
      <c r="B73" t="s">
        <v>217</v>
      </c>
      <c r="C73" t="s">
        <v>161</v>
      </c>
      <c r="D73" t="s">
        <v>40</v>
      </c>
      <c r="E73" t="s">
        <v>383</v>
      </c>
      <c r="F73" t="s">
        <v>386</v>
      </c>
    </row>
    <row r="74" spans="1:42" x14ac:dyDescent="0.3">
      <c r="A74" t="s">
        <v>19</v>
      </c>
      <c r="B74" t="s">
        <v>219</v>
      </c>
      <c r="C74" t="s">
        <v>161</v>
      </c>
      <c r="D74" t="s">
        <v>40</v>
      </c>
      <c r="E74" t="s">
        <v>383</v>
      </c>
      <c r="F74" t="s">
        <v>384</v>
      </c>
      <c r="R74">
        <v>79192.73</v>
      </c>
      <c r="S74">
        <v>554349.13</v>
      </c>
      <c r="T74">
        <v>554349.13</v>
      </c>
      <c r="U74">
        <v>395963.67</v>
      </c>
      <c r="W74">
        <v>79192.73</v>
      </c>
      <c r="X74">
        <v>237578.2</v>
      </c>
    </row>
    <row r="75" spans="1:42" x14ac:dyDescent="0.3">
      <c r="A75" t="s">
        <v>19</v>
      </c>
      <c r="B75" t="s">
        <v>219</v>
      </c>
      <c r="C75" t="s">
        <v>161</v>
      </c>
      <c r="D75" t="s">
        <v>40</v>
      </c>
      <c r="E75" t="s">
        <v>383</v>
      </c>
      <c r="F75" t="s">
        <v>385</v>
      </c>
      <c r="R75">
        <v>70393.539999999994</v>
      </c>
      <c r="S75">
        <v>492754.79</v>
      </c>
      <c r="T75">
        <v>492754.79</v>
      </c>
      <c r="U75">
        <v>351967.7</v>
      </c>
      <c r="W75">
        <v>70393.539999999994</v>
      </c>
      <c r="X75">
        <v>422361.24</v>
      </c>
    </row>
    <row r="76" spans="1:42" x14ac:dyDescent="0.3">
      <c r="A76" t="s">
        <v>19</v>
      </c>
      <c r="B76" t="s">
        <v>219</v>
      </c>
      <c r="C76" t="s">
        <v>161</v>
      </c>
      <c r="D76" t="s">
        <v>40</v>
      </c>
      <c r="E76" t="s">
        <v>383</v>
      </c>
      <c r="F76" t="s">
        <v>386</v>
      </c>
    </row>
    <row r="77" spans="1:42" x14ac:dyDescent="0.3">
      <c r="A77" t="s">
        <v>19</v>
      </c>
      <c r="B77" t="s">
        <v>221</v>
      </c>
      <c r="C77" t="s">
        <v>161</v>
      </c>
      <c r="D77" t="s">
        <v>40</v>
      </c>
      <c r="E77" t="s">
        <v>383</v>
      </c>
      <c r="F77" t="s">
        <v>384</v>
      </c>
      <c r="X77">
        <v>116163.24</v>
      </c>
      <c r="Y77">
        <v>813142.71</v>
      </c>
      <c r="Z77">
        <v>813142.71</v>
      </c>
      <c r="AA77">
        <v>348489.73</v>
      </c>
    </row>
    <row r="78" spans="1:42" x14ac:dyDescent="0.3">
      <c r="A78" t="s">
        <v>19</v>
      </c>
      <c r="B78" t="s">
        <v>221</v>
      </c>
      <c r="C78" t="s">
        <v>161</v>
      </c>
      <c r="D78" t="s">
        <v>40</v>
      </c>
      <c r="E78" t="s">
        <v>383</v>
      </c>
      <c r="F78" t="s">
        <v>385</v>
      </c>
      <c r="X78">
        <v>83637.539999999994</v>
      </c>
      <c r="Y78">
        <v>585462.75</v>
      </c>
      <c r="Z78">
        <v>585462.75</v>
      </c>
      <c r="AA78">
        <v>585462.75</v>
      </c>
      <c r="AB78">
        <v>250912.61</v>
      </c>
    </row>
    <row r="79" spans="1:42" x14ac:dyDescent="0.3">
      <c r="A79" t="s">
        <v>19</v>
      </c>
      <c r="B79" t="s">
        <v>221</v>
      </c>
      <c r="C79" t="s">
        <v>161</v>
      </c>
      <c r="D79" t="s">
        <v>40</v>
      </c>
      <c r="E79" t="s">
        <v>383</v>
      </c>
      <c r="F79" t="s">
        <v>386</v>
      </c>
    </row>
    <row r="80" spans="1:42" x14ac:dyDescent="0.3">
      <c r="A80" t="s">
        <v>19</v>
      </c>
      <c r="B80" t="s">
        <v>223</v>
      </c>
      <c r="C80" t="s">
        <v>161</v>
      </c>
      <c r="D80" t="s">
        <v>40</v>
      </c>
      <c r="E80" t="s">
        <v>383</v>
      </c>
      <c r="F80" t="s">
        <v>384</v>
      </c>
      <c r="AM80">
        <v>377806.25</v>
      </c>
      <c r="AN80">
        <v>881547.93</v>
      </c>
      <c r="AO80">
        <v>881547.93</v>
      </c>
      <c r="AP80">
        <v>629677.09</v>
      </c>
    </row>
    <row r="81" spans="1:47" x14ac:dyDescent="0.3">
      <c r="A81" t="s">
        <v>19</v>
      </c>
      <c r="B81" t="s">
        <v>223</v>
      </c>
      <c r="C81" t="s">
        <v>161</v>
      </c>
      <c r="D81" t="s">
        <v>40</v>
      </c>
      <c r="E81" t="s">
        <v>383</v>
      </c>
      <c r="F81" t="s">
        <v>385</v>
      </c>
      <c r="AM81">
        <v>554115.83999999997</v>
      </c>
      <c r="AN81">
        <v>1292936.96</v>
      </c>
      <c r="AO81">
        <v>923526.4</v>
      </c>
    </row>
    <row r="82" spans="1:47" x14ac:dyDescent="0.3">
      <c r="A82" t="s">
        <v>19</v>
      </c>
      <c r="B82" t="s">
        <v>223</v>
      </c>
      <c r="C82" t="s">
        <v>161</v>
      </c>
      <c r="D82" t="s">
        <v>40</v>
      </c>
      <c r="E82" t="s">
        <v>383</v>
      </c>
      <c r="F82" t="s">
        <v>386</v>
      </c>
    </row>
    <row r="83" spans="1:47" x14ac:dyDescent="0.3">
      <c r="A83" t="s">
        <v>19</v>
      </c>
      <c r="B83" t="s">
        <v>225</v>
      </c>
      <c r="C83" t="s">
        <v>161</v>
      </c>
      <c r="D83" t="s">
        <v>40</v>
      </c>
      <c r="E83" t="s">
        <v>383</v>
      </c>
      <c r="F83" t="s">
        <v>384</v>
      </c>
      <c r="AO83">
        <v>85993.26</v>
      </c>
      <c r="AP83">
        <v>300976.42</v>
      </c>
      <c r="AQ83">
        <v>300976.42</v>
      </c>
      <c r="AR83">
        <v>128989.89</v>
      </c>
    </row>
    <row r="84" spans="1:47" x14ac:dyDescent="0.3">
      <c r="A84" t="s">
        <v>19</v>
      </c>
      <c r="B84" t="s">
        <v>225</v>
      </c>
      <c r="C84" t="s">
        <v>161</v>
      </c>
      <c r="D84" t="s">
        <v>40</v>
      </c>
      <c r="E84" t="s">
        <v>383</v>
      </c>
      <c r="F84" t="s">
        <v>385</v>
      </c>
      <c r="AO84">
        <v>85993.26</v>
      </c>
      <c r="AP84">
        <v>300976.42</v>
      </c>
      <c r="AQ84">
        <v>300976.42</v>
      </c>
      <c r="AR84">
        <v>128989.89</v>
      </c>
    </row>
    <row r="85" spans="1:47" x14ac:dyDescent="0.3">
      <c r="A85" t="s">
        <v>19</v>
      </c>
      <c r="B85" t="s">
        <v>225</v>
      </c>
      <c r="C85" t="s">
        <v>161</v>
      </c>
      <c r="D85" t="s">
        <v>40</v>
      </c>
      <c r="E85" t="s">
        <v>383</v>
      </c>
      <c r="F85" t="s">
        <v>386</v>
      </c>
    </row>
    <row r="86" spans="1:47" x14ac:dyDescent="0.3">
      <c r="A86" t="s">
        <v>19</v>
      </c>
      <c r="B86" t="s">
        <v>229</v>
      </c>
      <c r="C86" t="s">
        <v>161</v>
      </c>
      <c r="D86" t="s">
        <v>45</v>
      </c>
      <c r="E86" t="s">
        <v>383</v>
      </c>
      <c r="F86" t="s">
        <v>384</v>
      </c>
      <c r="AI86">
        <v>1587189.2</v>
      </c>
      <c r="AJ86">
        <v>2222064.88</v>
      </c>
      <c r="AK86">
        <v>2222064.88</v>
      </c>
      <c r="AL86">
        <v>2222064.88</v>
      </c>
      <c r="AM86">
        <v>1269751.3600000001</v>
      </c>
    </row>
    <row r="87" spans="1:47" x14ac:dyDescent="0.3">
      <c r="A87" t="s">
        <v>19</v>
      </c>
      <c r="B87" t="s">
        <v>229</v>
      </c>
      <c r="C87" t="s">
        <v>161</v>
      </c>
      <c r="D87" t="s">
        <v>45</v>
      </c>
      <c r="E87" t="s">
        <v>383</v>
      </c>
      <c r="F87" t="s">
        <v>385</v>
      </c>
      <c r="AI87">
        <v>1587189.2</v>
      </c>
      <c r="AJ87">
        <v>2222064.88</v>
      </c>
      <c r="AK87">
        <v>2222064.88</v>
      </c>
      <c r="AL87">
        <v>2222064.88</v>
      </c>
      <c r="AM87">
        <v>1269751.3600000001</v>
      </c>
    </row>
    <row r="88" spans="1:47" x14ac:dyDescent="0.3">
      <c r="A88" t="s">
        <v>19</v>
      </c>
      <c r="B88" t="s">
        <v>229</v>
      </c>
      <c r="C88" t="s">
        <v>161</v>
      </c>
      <c r="D88" t="s">
        <v>45</v>
      </c>
      <c r="E88" t="s">
        <v>383</v>
      </c>
      <c r="F88" t="s">
        <v>386</v>
      </c>
    </row>
    <row r="89" spans="1:47" x14ac:dyDescent="0.3">
      <c r="A89" t="s">
        <v>19</v>
      </c>
      <c r="B89" t="s">
        <v>232</v>
      </c>
      <c r="C89" t="s">
        <v>161</v>
      </c>
      <c r="D89" t="s">
        <v>31</v>
      </c>
      <c r="E89" t="s">
        <v>383</v>
      </c>
      <c r="F89" t="s">
        <v>384</v>
      </c>
      <c r="AR89">
        <v>1282506.6200000001</v>
      </c>
      <c r="AS89">
        <v>2244386.58</v>
      </c>
      <c r="AT89">
        <v>2244386.58</v>
      </c>
      <c r="AU89">
        <v>1282506.6200000001</v>
      </c>
    </row>
    <row r="90" spans="1:47" x14ac:dyDescent="0.3">
      <c r="A90" t="s">
        <v>19</v>
      </c>
      <c r="B90" t="s">
        <v>232</v>
      </c>
      <c r="C90" t="s">
        <v>161</v>
      </c>
      <c r="D90" t="s">
        <v>31</v>
      </c>
      <c r="E90" t="s">
        <v>383</v>
      </c>
      <c r="F90" t="s">
        <v>385</v>
      </c>
      <c r="AR90">
        <v>1282506.6200000001</v>
      </c>
      <c r="AS90">
        <v>2244386.58</v>
      </c>
      <c r="AT90">
        <v>2244386.58</v>
      </c>
      <c r="AU90">
        <v>1282506.6200000001</v>
      </c>
    </row>
    <row r="91" spans="1:47" x14ac:dyDescent="0.3">
      <c r="A91" t="s">
        <v>19</v>
      </c>
      <c r="B91" t="s">
        <v>232</v>
      </c>
      <c r="C91" t="s">
        <v>161</v>
      </c>
      <c r="D91" t="s">
        <v>31</v>
      </c>
      <c r="E91" t="s">
        <v>383</v>
      </c>
      <c r="F91" t="s">
        <v>386</v>
      </c>
    </row>
    <row r="92" spans="1:47" x14ac:dyDescent="0.3">
      <c r="A92" t="s">
        <v>19</v>
      </c>
      <c r="B92" t="s">
        <v>235</v>
      </c>
      <c r="C92" t="s">
        <v>161</v>
      </c>
      <c r="D92" t="s">
        <v>61</v>
      </c>
      <c r="E92" t="s">
        <v>383</v>
      </c>
      <c r="F92" t="s">
        <v>384</v>
      </c>
      <c r="AQ92">
        <v>53366.93</v>
      </c>
      <c r="AR92">
        <v>26683.47</v>
      </c>
    </row>
    <row r="93" spans="1:47" x14ac:dyDescent="0.3">
      <c r="A93" t="s">
        <v>19</v>
      </c>
      <c r="B93" t="s">
        <v>235</v>
      </c>
      <c r="C93" t="s">
        <v>161</v>
      </c>
      <c r="D93" t="s">
        <v>61</v>
      </c>
      <c r="E93" t="s">
        <v>383</v>
      </c>
      <c r="F93" t="s">
        <v>385</v>
      </c>
      <c r="AQ93">
        <v>53366.93</v>
      </c>
      <c r="AR93">
        <v>26683.47</v>
      </c>
    </row>
    <row r="94" spans="1:47" x14ac:dyDescent="0.3">
      <c r="A94" t="s">
        <v>19</v>
      </c>
      <c r="B94" t="s">
        <v>235</v>
      </c>
      <c r="C94" t="s">
        <v>161</v>
      </c>
      <c r="D94" t="s">
        <v>61</v>
      </c>
      <c r="E94" t="s">
        <v>383</v>
      </c>
      <c r="F94" t="s">
        <v>386</v>
      </c>
    </row>
    <row r="95" spans="1:47" x14ac:dyDescent="0.3">
      <c r="A95" t="s">
        <v>19</v>
      </c>
      <c r="B95" t="s">
        <v>240</v>
      </c>
      <c r="C95" t="s">
        <v>161</v>
      </c>
      <c r="D95" t="s">
        <v>64</v>
      </c>
      <c r="E95" t="s">
        <v>383</v>
      </c>
      <c r="F95" t="s">
        <v>384</v>
      </c>
      <c r="AR95">
        <v>21548.48</v>
      </c>
      <c r="AS95">
        <v>32322.720000000001</v>
      </c>
    </row>
    <row r="96" spans="1:47" x14ac:dyDescent="0.3">
      <c r="A96" t="s">
        <v>19</v>
      </c>
      <c r="B96" t="s">
        <v>240</v>
      </c>
      <c r="C96" t="s">
        <v>161</v>
      </c>
      <c r="D96" t="s">
        <v>64</v>
      </c>
      <c r="E96" t="s">
        <v>383</v>
      </c>
      <c r="F96" t="s">
        <v>385</v>
      </c>
      <c r="AR96">
        <v>21548.48</v>
      </c>
      <c r="AS96">
        <v>32322.720000000001</v>
      </c>
    </row>
    <row r="97" spans="1:54" x14ac:dyDescent="0.3">
      <c r="A97" t="s">
        <v>19</v>
      </c>
      <c r="B97" t="s">
        <v>240</v>
      </c>
      <c r="C97" t="s">
        <v>161</v>
      </c>
      <c r="D97" t="s">
        <v>64</v>
      </c>
      <c r="E97" t="s">
        <v>383</v>
      </c>
      <c r="F97" t="s">
        <v>386</v>
      </c>
    </row>
    <row r="98" spans="1:54" x14ac:dyDescent="0.3">
      <c r="A98" t="s">
        <v>19</v>
      </c>
      <c r="B98" t="s">
        <v>242</v>
      </c>
      <c r="C98" t="s">
        <v>161</v>
      </c>
      <c r="D98" t="s">
        <v>35</v>
      </c>
      <c r="E98" t="s">
        <v>383</v>
      </c>
      <c r="F98" t="s">
        <v>384</v>
      </c>
      <c r="AX98">
        <v>232069.71</v>
      </c>
      <c r="AY98">
        <v>406122</v>
      </c>
      <c r="AZ98">
        <v>406122</v>
      </c>
      <c r="BA98">
        <v>406122</v>
      </c>
      <c r="BB98">
        <v>174052.29</v>
      </c>
    </row>
    <row r="99" spans="1:54" x14ac:dyDescent="0.3">
      <c r="A99" t="s">
        <v>19</v>
      </c>
      <c r="B99" t="s">
        <v>242</v>
      </c>
      <c r="C99" t="s">
        <v>161</v>
      </c>
      <c r="D99" t="s">
        <v>35</v>
      </c>
      <c r="E99" t="s">
        <v>383</v>
      </c>
      <c r="F99" t="s">
        <v>385</v>
      </c>
    </row>
    <row r="100" spans="1:54" x14ac:dyDescent="0.3">
      <c r="A100" t="s">
        <v>19</v>
      </c>
      <c r="B100" t="s">
        <v>242</v>
      </c>
      <c r="C100" t="s">
        <v>161</v>
      </c>
      <c r="D100" t="s">
        <v>35</v>
      </c>
      <c r="E100" t="s">
        <v>383</v>
      </c>
      <c r="F100" t="s">
        <v>386</v>
      </c>
      <c r="AX100">
        <v>232069.71</v>
      </c>
      <c r="AY100">
        <v>406122</v>
      </c>
      <c r="AZ100">
        <v>406122</v>
      </c>
      <c r="BA100">
        <v>406122</v>
      </c>
      <c r="BB100">
        <v>174052.29</v>
      </c>
    </row>
    <row r="101" spans="1:54" x14ac:dyDescent="0.3">
      <c r="A101" t="s">
        <v>19</v>
      </c>
      <c r="B101" t="s">
        <v>245</v>
      </c>
      <c r="C101" t="s">
        <v>161</v>
      </c>
      <c r="D101" t="s">
        <v>40</v>
      </c>
      <c r="E101" t="s">
        <v>383</v>
      </c>
      <c r="F101" t="s">
        <v>384</v>
      </c>
      <c r="P101">
        <v>373456.16</v>
      </c>
      <c r="Q101">
        <v>373456.16</v>
      </c>
      <c r="R101">
        <v>320105.28000000003</v>
      </c>
    </row>
    <row r="102" spans="1:54" x14ac:dyDescent="0.3">
      <c r="A102" t="s">
        <v>19</v>
      </c>
      <c r="B102" t="s">
        <v>245</v>
      </c>
      <c r="C102" t="s">
        <v>161</v>
      </c>
      <c r="D102" t="s">
        <v>40</v>
      </c>
      <c r="E102" t="s">
        <v>383</v>
      </c>
      <c r="F102" t="s">
        <v>385</v>
      </c>
      <c r="P102">
        <v>373456.16</v>
      </c>
      <c r="Q102">
        <v>373456.16</v>
      </c>
      <c r="R102">
        <v>320105.28000000003</v>
      </c>
    </row>
    <row r="103" spans="1:54" x14ac:dyDescent="0.3">
      <c r="A103" t="s">
        <v>19</v>
      </c>
      <c r="B103" t="s">
        <v>245</v>
      </c>
      <c r="C103" t="s">
        <v>161</v>
      </c>
      <c r="D103" t="s">
        <v>40</v>
      </c>
      <c r="E103" t="s">
        <v>383</v>
      </c>
      <c r="F103" t="s">
        <v>386</v>
      </c>
    </row>
    <row r="104" spans="1:54" x14ac:dyDescent="0.3">
      <c r="A104" t="s">
        <v>19</v>
      </c>
      <c r="B104" t="s">
        <v>248</v>
      </c>
      <c r="C104" t="s">
        <v>161</v>
      </c>
      <c r="D104" t="s">
        <v>40</v>
      </c>
      <c r="E104" t="s">
        <v>383</v>
      </c>
      <c r="F104" t="s">
        <v>384</v>
      </c>
      <c r="AD104">
        <v>96698.48</v>
      </c>
      <c r="AE104">
        <v>580190.88</v>
      </c>
      <c r="AG104">
        <v>96698.48</v>
      </c>
      <c r="AH104">
        <v>193396.96</v>
      </c>
    </row>
    <row r="105" spans="1:54" x14ac:dyDescent="0.3">
      <c r="A105" t="s">
        <v>19</v>
      </c>
      <c r="B105" t="s">
        <v>248</v>
      </c>
      <c r="C105" t="s">
        <v>161</v>
      </c>
      <c r="D105" t="s">
        <v>40</v>
      </c>
      <c r="E105" t="s">
        <v>383</v>
      </c>
      <c r="F105" t="s">
        <v>385</v>
      </c>
      <c r="AD105">
        <v>138140.69</v>
      </c>
      <c r="AE105">
        <v>828844.11</v>
      </c>
    </row>
    <row r="106" spans="1:54" x14ac:dyDescent="0.3">
      <c r="A106" t="s">
        <v>19</v>
      </c>
      <c r="B106" t="s">
        <v>248</v>
      </c>
      <c r="C106" t="s">
        <v>161</v>
      </c>
      <c r="D106" t="s">
        <v>40</v>
      </c>
      <c r="E106" t="s">
        <v>383</v>
      </c>
      <c r="F106" t="s">
        <v>386</v>
      </c>
    </row>
    <row r="107" spans="1:54" x14ac:dyDescent="0.3">
      <c r="A107" t="s">
        <v>19</v>
      </c>
      <c r="B107" t="s">
        <v>250</v>
      </c>
      <c r="C107" t="s">
        <v>161</v>
      </c>
      <c r="D107" t="s">
        <v>40</v>
      </c>
      <c r="E107" t="s">
        <v>383</v>
      </c>
      <c r="F107" t="s">
        <v>384</v>
      </c>
      <c r="R107">
        <v>10003.299999999999</v>
      </c>
      <c r="S107">
        <v>70023.100000000006</v>
      </c>
      <c r="T107">
        <v>70023.100000000006</v>
      </c>
      <c r="U107">
        <v>10003.299999999999</v>
      </c>
    </row>
    <row r="108" spans="1:54" x14ac:dyDescent="0.3">
      <c r="A108" t="s">
        <v>19</v>
      </c>
      <c r="B108" t="s">
        <v>250</v>
      </c>
      <c r="C108" t="s">
        <v>161</v>
      </c>
      <c r="D108" t="s">
        <v>40</v>
      </c>
      <c r="E108" t="s">
        <v>383</v>
      </c>
      <c r="F108" t="s">
        <v>385</v>
      </c>
      <c r="R108">
        <v>10003.299999999999</v>
      </c>
      <c r="S108">
        <v>70023.100000000006</v>
      </c>
      <c r="T108">
        <v>70023.100000000006</v>
      </c>
      <c r="U108">
        <v>10003.299999999999</v>
      </c>
    </row>
    <row r="109" spans="1:54" x14ac:dyDescent="0.3">
      <c r="A109" t="s">
        <v>19</v>
      </c>
      <c r="B109" t="s">
        <v>250</v>
      </c>
      <c r="C109" t="s">
        <v>161</v>
      </c>
      <c r="D109" t="s">
        <v>40</v>
      </c>
      <c r="E109" t="s">
        <v>383</v>
      </c>
      <c r="F109" t="s">
        <v>386</v>
      </c>
    </row>
    <row r="110" spans="1:54" x14ac:dyDescent="0.3">
      <c r="A110" t="s">
        <v>19</v>
      </c>
      <c r="B110" t="s">
        <v>252</v>
      </c>
      <c r="C110" t="s">
        <v>161</v>
      </c>
      <c r="D110" t="s">
        <v>40</v>
      </c>
      <c r="E110" t="s">
        <v>383</v>
      </c>
      <c r="F110" t="s">
        <v>384</v>
      </c>
      <c r="X110">
        <v>79192.73</v>
      </c>
      <c r="Y110">
        <v>554349.13</v>
      </c>
      <c r="Z110">
        <v>554349.13</v>
      </c>
      <c r="AA110">
        <v>554349.13</v>
      </c>
      <c r="AB110">
        <v>158385.47</v>
      </c>
    </row>
    <row r="111" spans="1:54" x14ac:dyDescent="0.3">
      <c r="A111" t="s">
        <v>19</v>
      </c>
      <c r="B111" t="s">
        <v>252</v>
      </c>
      <c r="C111" t="s">
        <v>161</v>
      </c>
      <c r="D111" t="s">
        <v>40</v>
      </c>
      <c r="E111" t="s">
        <v>383</v>
      </c>
      <c r="F111" t="s">
        <v>385</v>
      </c>
      <c r="X111">
        <v>79192.73</v>
      </c>
      <c r="Y111">
        <v>554349.13</v>
      </c>
      <c r="Z111">
        <v>554349.13</v>
      </c>
      <c r="AA111">
        <v>554349.13</v>
      </c>
      <c r="AB111">
        <v>158385.47</v>
      </c>
    </row>
    <row r="112" spans="1:54" x14ac:dyDescent="0.3">
      <c r="A112" t="s">
        <v>19</v>
      </c>
      <c r="B112" t="s">
        <v>252</v>
      </c>
      <c r="C112" t="s">
        <v>161</v>
      </c>
      <c r="D112" t="s">
        <v>40</v>
      </c>
      <c r="E112" t="s">
        <v>383</v>
      </c>
      <c r="F112" t="s">
        <v>386</v>
      </c>
    </row>
    <row r="113" spans="1:55" x14ac:dyDescent="0.3">
      <c r="A113" t="s">
        <v>19</v>
      </c>
      <c r="B113" t="s">
        <v>254</v>
      </c>
      <c r="C113" t="s">
        <v>161</v>
      </c>
      <c r="D113" t="s">
        <v>40</v>
      </c>
      <c r="E113" t="s">
        <v>383</v>
      </c>
      <c r="F113" t="s">
        <v>384</v>
      </c>
      <c r="AB113">
        <v>580816.22</v>
      </c>
      <c r="AC113">
        <v>813142.71</v>
      </c>
      <c r="AD113">
        <v>696979.47</v>
      </c>
    </row>
    <row r="114" spans="1:55" x14ac:dyDescent="0.3">
      <c r="A114" t="s">
        <v>19</v>
      </c>
      <c r="B114" t="s">
        <v>254</v>
      </c>
      <c r="C114" t="s">
        <v>161</v>
      </c>
      <c r="D114" t="s">
        <v>40</v>
      </c>
      <c r="E114" t="s">
        <v>383</v>
      </c>
      <c r="F114" t="s">
        <v>385</v>
      </c>
      <c r="AB114">
        <v>491985.51</v>
      </c>
      <c r="AC114">
        <v>860974.64</v>
      </c>
      <c r="AD114">
        <v>737978.26</v>
      </c>
    </row>
    <row r="115" spans="1:55" x14ac:dyDescent="0.3">
      <c r="A115" t="s">
        <v>19</v>
      </c>
      <c r="B115" t="s">
        <v>254</v>
      </c>
      <c r="C115" t="s">
        <v>161</v>
      </c>
      <c r="D115" t="s">
        <v>40</v>
      </c>
      <c r="E115" t="s">
        <v>383</v>
      </c>
      <c r="F115" t="s">
        <v>386</v>
      </c>
    </row>
    <row r="116" spans="1:55" x14ac:dyDescent="0.3">
      <c r="A116" t="s">
        <v>19</v>
      </c>
      <c r="B116" t="s">
        <v>256</v>
      </c>
      <c r="C116" t="s">
        <v>161</v>
      </c>
      <c r="D116" t="s">
        <v>40</v>
      </c>
      <c r="E116" t="s">
        <v>383</v>
      </c>
      <c r="F116" t="s">
        <v>384</v>
      </c>
      <c r="AS116">
        <v>629677.09</v>
      </c>
      <c r="AT116">
        <v>881547.93</v>
      </c>
      <c r="AU116">
        <v>881547.93</v>
      </c>
      <c r="AV116">
        <v>377806.25</v>
      </c>
    </row>
    <row r="117" spans="1:55" x14ac:dyDescent="0.3">
      <c r="A117" t="s">
        <v>19</v>
      </c>
      <c r="B117" t="s">
        <v>256</v>
      </c>
      <c r="C117" t="s">
        <v>161</v>
      </c>
      <c r="D117" t="s">
        <v>40</v>
      </c>
      <c r="E117" t="s">
        <v>383</v>
      </c>
      <c r="F117" t="s">
        <v>385</v>
      </c>
      <c r="AS117">
        <v>629677.09</v>
      </c>
      <c r="AT117">
        <v>881547.93</v>
      </c>
      <c r="AU117">
        <v>881547.93</v>
      </c>
      <c r="AV117">
        <v>377806.25</v>
      </c>
    </row>
    <row r="118" spans="1:55" x14ac:dyDescent="0.3">
      <c r="A118" t="s">
        <v>19</v>
      </c>
      <c r="B118" t="s">
        <v>256</v>
      </c>
      <c r="C118" t="s">
        <v>161</v>
      </c>
      <c r="D118" t="s">
        <v>40</v>
      </c>
      <c r="E118" t="s">
        <v>383</v>
      </c>
      <c r="F118" t="s">
        <v>386</v>
      </c>
    </row>
    <row r="119" spans="1:55" x14ac:dyDescent="0.3">
      <c r="A119" t="s">
        <v>19</v>
      </c>
      <c r="B119" t="s">
        <v>260</v>
      </c>
      <c r="C119" t="s">
        <v>161</v>
      </c>
      <c r="D119" t="s">
        <v>40</v>
      </c>
      <c r="E119" t="s">
        <v>383</v>
      </c>
      <c r="F119" t="s">
        <v>384</v>
      </c>
      <c r="AV119">
        <v>171986.53</v>
      </c>
      <c r="AW119">
        <v>300976.42</v>
      </c>
      <c r="AX119">
        <v>300976.42</v>
      </c>
      <c r="AY119">
        <v>42996.63</v>
      </c>
    </row>
    <row r="120" spans="1:55" x14ac:dyDescent="0.3">
      <c r="A120" t="s">
        <v>19</v>
      </c>
      <c r="B120" t="s">
        <v>260</v>
      </c>
      <c r="C120" t="s">
        <v>161</v>
      </c>
      <c r="D120" t="s">
        <v>40</v>
      </c>
      <c r="E120" t="s">
        <v>383</v>
      </c>
      <c r="F120" t="s">
        <v>385</v>
      </c>
      <c r="AV120">
        <v>70023.09</v>
      </c>
      <c r="AW120">
        <v>122540.4</v>
      </c>
      <c r="AX120">
        <v>52517.31</v>
      </c>
    </row>
    <row r="121" spans="1:55" x14ac:dyDescent="0.3">
      <c r="A121" t="s">
        <v>19</v>
      </c>
      <c r="B121" t="s">
        <v>260</v>
      </c>
      <c r="C121" t="s">
        <v>161</v>
      </c>
      <c r="D121" t="s">
        <v>40</v>
      </c>
      <c r="E121" t="s">
        <v>383</v>
      </c>
      <c r="F121" t="s">
        <v>386</v>
      </c>
      <c r="AX121">
        <v>571855.19999999995</v>
      </c>
    </row>
    <row r="122" spans="1:55" x14ac:dyDescent="0.3">
      <c r="A122" t="s">
        <v>19</v>
      </c>
      <c r="B122" t="s">
        <v>262</v>
      </c>
      <c r="C122" t="s">
        <v>161</v>
      </c>
      <c r="D122" t="s">
        <v>45</v>
      </c>
      <c r="E122" t="s">
        <v>383</v>
      </c>
      <c r="F122" t="s">
        <v>384</v>
      </c>
      <c r="AM122">
        <v>952313.52</v>
      </c>
      <c r="AN122">
        <v>2222064.88</v>
      </c>
      <c r="AO122">
        <v>2222064.88</v>
      </c>
      <c r="AP122">
        <v>2222064.88</v>
      </c>
      <c r="AQ122">
        <v>1904627.04</v>
      </c>
    </row>
    <row r="123" spans="1:55" x14ac:dyDescent="0.3">
      <c r="A123" t="s">
        <v>19</v>
      </c>
      <c r="B123" t="s">
        <v>262</v>
      </c>
      <c r="C123" t="s">
        <v>161</v>
      </c>
      <c r="D123" t="s">
        <v>45</v>
      </c>
      <c r="E123" t="s">
        <v>383</v>
      </c>
      <c r="F123" t="s">
        <v>385</v>
      </c>
      <c r="AO123">
        <v>2222064.88</v>
      </c>
      <c r="AP123">
        <v>2222064.88</v>
      </c>
      <c r="AQ123">
        <v>2222064.88</v>
      </c>
      <c r="AR123">
        <v>2222064.88</v>
      </c>
      <c r="AS123">
        <v>634875.68000000005</v>
      </c>
    </row>
    <row r="124" spans="1:55" x14ac:dyDescent="0.3">
      <c r="A124" t="s">
        <v>19</v>
      </c>
      <c r="B124" t="s">
        <v>262</v>
      </c>
      <c r="C124" t="s">
        <v>161</v>
      </c>
      <c r="D124" t="s">
        <v>45</v>
      </c>
      <c r="E124" t="s">
        <v>383</v>
      </c>
      <c r="F124" t="s">
        <v>386</v>
      </c>
    </row>
    <row r="125" spans="1:55" x14ac:dyDescent="0.3">
      <c r="A125" t="s">
        <v>19</v>
      </c>
      <c r="B125" t="s">
        <v>267</v>
      </c>
      <c r="C125" t="s">
        <v>161</v>
      </c>
      <c r="D125" t="s">
        <v>31</v>
      </c>
      <c r="E125" t="s">
        <v>383</v>
      </c>
      <c r="F125" t="s">
        <v>384</v>
      </c>
      <c r="AZ125">
        <v>1923759.93</v>
      </c>
      <c r="BA125">
        <v>2244386.58</v>
      </c>
      <c r="BB125">
        <v>2244386.58</v>
      </c>
      <c r="BC125">
        <v>641253.31000000006</v>
      </c>
    </row>
    <row r="126" spans="1:55" x14ac:dyDescent="0.3">
      <c r="A126" t="s">
        <v>19</v>
      </c>
      <c r="B126" t="s">
        <v>267</v>
      </c>
      <c r="C126" t="s">
        <v>161</v>
      </c>
      <c r="D126" t="s">
        <v>31</v>
      </c>
      <c r="E126" t="s">
        <v>383</v>
      </c>
      <c r="F126" t="s">
        <v>385</v>
      </c>
    </row>
    <row r="127" spans="1:55" x14ac:dyDescent="0.3">
      <c r="A127" t="s">
        <v>19</v>
      </c>
      <c r="B127" t="s">
        <v>267</v>
      </c>
      <c r="C127" t="s">
        <v>161</v>
      </c>
      <c r="D127" t="s">
        <v>31</v>
      </c>
      <c r="E127" t="s">
        <v>383</v>
      </c>
      <c r="F127" t="s">
        <v>386</v>
      </c>
      <c r="AZ127">
        <v>1923759.93</v>
      </c>
      <c r="BA127">
        <v>2244386.58</v>
      </c>
      <c r="BB127">
        <v>2244386.58</v>
      </c>
      <c r="BC127">
        <v>641253.31000000006</v>
      </c>
    </row>
    <row r="128" spans="1:55" x14ac:dyDescent="0.3">
      <c r="A128" t="s">
        <v>19</v>
      </c>
      <c r="B128" t="s">
        <v>270</v>
      </c>
      <c r="C128" t="s">
        <v>161</v>
      </c>
      <c r="D128" t="s">
        <v>61</v>
      </c>
      <c r="E128" t="s">
        <v>383</v>
      </c>
      <c r="F128" t="s">
        <v>384</v>
      </c>
      <c r="AX128">
        <v>8894.49</v>
      </c>
      <c r="AY128">
        <v>62261.42</v>
      </c>
      <c r="AZ128">
        <v>8894.49</v>
      </c>
    </row>
    <row r="129" spans="1:59" x14ac:dyDescent="0.3">
      <c r="A129" t="s">
        <v>19</v>
      </c>
      <c r="B129" t="s">
        <v>270</v>
      </c>
      <c r="C129" t="s">
        <v>161</v>
      </c>
      <c r="D129" t="s">
        <v>61</v>
      </c>
      <c r="E129" t="s">
        <v>383</v>
      </c>
      <c r="F129" t="s">
        <v>385</v>
      </c>
    </row>
    <row r="130" spans="1:59" x14ac:dyDescent="0.3">
      <c r="A130" t="s">
        <v>19</v>
      </c>
      <c r="B130" t="s">
        <v>270</v>
      </c>
      <c r="C130" t="s">
        <v>161</v>
      </c>
      <c r="D130" t="s">
        <v>61</v>
      </c>
      <c r="E130" t="s">
        <v>383</v>
      </c>
      <c r="F130" t="s">
        <v>386</v>
      </c>
      <c r="AX130">
        <v>8894.49</v>
      </c>
      <c r="AY130">
        <v>62261.42</v>
      </c>
      <c r="AZ130">
        <v>8894.49</v>
      </c>
    </row>
    <row r="131" spans="1:59" x14ac:dyDescent="0.3">
      <c r="A131" t="s">
        <v>19</v>
      </c>
      <c r="B131" t="s">
        <v>273</v>
      </c>
      <c r="C131" t="s">
        <v>161</v>
      </c>
      <c r="D131" t="s">
        <v>64</v>
      </c>
      <c r="E131" t="s">
        <v>383</v>
      </c>
      <c r="F131" t="s">
        <v>384</v>
      </c>
      <c r="AZ131">
        <v>32322.720000000001</v>
      </c>
      <c r="BA131">
        <v>21548.48</v>
      </c>
    </row>
    <row r="132" spans="1:59" x14ac:dyDescent="0.3">
      <c r="A132" t="s">
        <v>19</v>
      </c>
      <c r="B132" t="s">
        <v>273</v>
      </c>
      <c r="C132" t="s">
        <v>161</v>
      </c>
      <c r="D132" t="s">
        <v>64</v>
      </c>
      <c r="E132" t="s">
        <v>383</v>
      </c>
      <c r="F132" t="s">
        <v>385</v>
      </c>
    </row>
    <row r="133" spans="1:59" x14ac:dyDescent="0.3">
      <c r="A133" t="s">
        <v>19</v>
      </c>
      <c r="B133" t="s">
        <v>273</v>
      </c>
      <c r="C133" t="s">
        <v>161</v>
      </c>
      <c r="D133" t="s">
        <v>64</v>
      </c>
      <c r="E133" t="s">
        <v>383</v>
      </c>
      <c r="F133" t="s">
        <v>386</v>
      </c>
      <c r="AZ133">
        <v>32322.720000000001</v>
      </c>
      <c r="BA133">
        <v>21548.48</v>
      </c>
    </row>
    <row r="134" spans="1:59" x14ac:dyDescent="0.3">
      <c r="A134" t="s">
        <v>19</v>
      </c>
      <c r="B134" t="s">
        <v>275</v>
      </c>
      <c r="C134" t="s">
        <v>161</v>
      </c>
      <c r="D134" t="s">
        <v>35</v>
      </c>
      <c r="E134" t="s">
        <v>383</v>
      </c>
      <c r="F134" t="s">
        <v>384</v>
      </c>
      <c r="BC134">
        <v>290087.14</v>
      </c>
      <c r="BD134">
        <v>406122</v>
      </c>
      <c r="BE134">
        <v>406122</v>
      </c>
      <c r="BF134">
        <v>406122</v>
      </c>
      <c r="BG134">
        <v>116034.86</v>
      </c>
    </row>
    <row r="135" spans="1:59" x14ac:dyDescent="0.3">
      <c r="A135" t="s">
        <v>19</v>
      </c>
      <c r="B135" t="s">
        <v>275</v>
      </c>
      <c r="C135" t="s">
        <v>161</v>
      </c>
      <c r="D135" t="s">
        <v>35</v>
      </c>
      <c r="E135" t="s">
        <v>383</v>
      </c>
      <c r="F135" t="s">
        <v>385</v>
      </c>
    </row>
    <row r="136" spans="1:59" x14ac:dyDescent="0.3">
      <c r="A136" t="s">
        <v>19</v>
      </c>
      <c r="B136" t="s">
        <v>275</v>
      </c>
      <c r="C136" t="s">
        <v>161</v>
      </c>
      <c r="D136" t="s">
        <v>35</v>
      </c>
      <c r="E136" t="s">
        <v>383</v>
      </c>
      <c r="F136" t="s">
        <v>386</v>
      </c>
      <c r="BC136">
        <v>290087.14</v>
      </c>
      <c r="BD136">
        <v>406122</v>
      </c>
      <c r="BE136">
        <v>406122</v>
      </c>
      <c r="BF136">
        <v>406122</v>
      </c>
      <c r="BG136">
        <v>116034.86</v>
      </c>
    </row>
    <row r="137" spans="1:59" x14ac:dyDescent="0.3">
      <c r="A137" t="s">
        <v>19</v>
      </c>
      <c r="B137" t="s">
        <v>278</v>
      </c>
      <c r="C137" t="s">
        <v>161</v>
      </c>
      <c r="D137" t="s">
        <v>40</v>
      </c>
      <c r="E137" t="s">
        <v>383</v>
      </c>
      <c r="F137" t="s">
        <v>384</v>
      </c>
      <c r="R137">
        <v>53350.879999999997</v>
      </c>
      <c r="S137">
        <v>373456.16</v>
      </c>
      <c r="T137">
        <v>373456.16</v>
      </c>
      <c r="U137">
        <v>266754.40000000002</v>
      </c>
    </row>
    <row r="138" spans="1:59" x14ac:dyDescent="0.3">
      <c r="A138" t="s">
        <v>19</v>
      </c>
      <c r="B138" t="s">
        <v>278</v>
      </c>
      <c r="C138" t="s">
        <v>161</v>
      </c>
      <c r="D138" t="s">
        <v>40</v>
      </c>
      <c r="E138" t="s">
        <v>383</v>
      </c>
      <c r="F138" t="s">
        <v>385</v>
      </c>
      <c r="R138">
        <v>53350.879999999997</v>
      </c>
      <c r="S138">
        <v>373456.16</v>
      </c>
      <c r="T138">
        <v>373456.16</v>
      </c>
      <c r="U138">
        <v>266754.40000000002</v>
      </c>
    </row>
    <row r="139" spans="1:59" x14ac:dyDescent="0.3">
      <c r="A139" t="s">
        <v>19</v>
      </c>
      <c r="B139" t="s">
        <v>278</v>
      </c>
      <c r="C139" t="s">
        <v>161</v>
      </c>
      <c r="D139" t="s">
        <v>40</v>
      </c>
      <c r="E139" t="s">
        <v>383</v>
      </c>
      <c r="F139" t="s">
        <v>386</v>
      </c>
    </row>
    <row r="140" spans="1:59" x14ac:dyDescent="0.3">
      <c r="A140" t="s">
        <v>19</v>
      </c>
      <c r="B140" t="s">
        <v>281</v>
      </c>
      <c r="C140" t="s">
        <v>161</v>
      </c>
      <c r="D140" t="s">
        <v>40</v>
      </c>
      <c r="E140" t="s">
        <v>383</v>
      </c>
      <c r="F140" t="s">
        <v>384</v>
      </c>
      <c r="AI140">
        <v>483492.4</v>
      </c>
      <c r="AJ140">
        <v>483492.4</v>
      </c>
    </row>
    <row r="141" spans="1:59" x14ac:dyDescent="0.3">
      <c r="A141" t="s">
        <v>19</v>
      </c>
      <c r="B141" t="s">
        <v>281</v>
      </c>
      <c r="C141" t="s">
        <v>161</v>
      </c>
      <c r="D141" t="s">
        <v>40</v>
      </c>
      <c r="E141" t="s">
        <v>383</v>
      </c>
      <c r="F141" t="s">
        <v>385</v>
      </c>
      <c r="AI141">
        <v>345351.71</v>
      </c>
      <c r="AJ141">
        <v>483492.4</v>
      </c>
      <c r="AK141">
        <v>138140.69</v>
      </c>
    </row>
    <row r="142" spans="1:59" x14ac:dyDescent="0.3">
      <c r="A142" t="s">
        <v>19</v>
      </c>
      <c r="B142" t="s">
        <v>281</v>
      </c>
      <c r="C142" t="s">
        <v>161</v>
      </c>
      <c r="D142" t="s">
        <v>40</v>
      </c>
      <c r="E142" t="s">
        <v>383</v>
      </c>
      <c r="F142" t="s">
        <v>386</v>
      </c>
    </row>
    <row r="143" spans="1:59" x14ac:dyDescent="0.3">
      <c r="A143" t="s">
        <v>19</v>
      </c>
      <c r="B143" t="s">
        <v>283</v>
      </c>
      <c r="C143" t="s">
        <v>161</v>
      </c>
      <c r="D143" t="s">
        <v>40</v>
      </c>
      <c r="E143" t="s">
        <v>383</v>
      </c>
      <c r="F143" t="s">
        <v>384</v>
      </c>
      <c r="X143">
        <v>60019.8</v>
      </c>
      <c r="Y143">
        <v>70023.100000000006</v>
      </c>
      <c r="Z143">
        <v>30009.9</v>
      </c>
    </row>
    <row r="144" spans="1:59" x14ac:dyDescent="0.3">
      <c r="A144" t="s">
        <v>19</v>
      </c>
      <c r="B144" t="s">
        <v>283</v>
      </c>
      <c r="C144" t="s">
        <v>161</v>
      </c>
      <c r="D144" t="s">
        <v>40</v>
      </c>
      <c r="E144" t="s">
        <v>383</v>
      </c>
      <c r="F144" t="s">
        <v>385</v>
      </c>
      <c r="X144">
        <v>60019.8</v>
      </c>
      <c r="Y144">
        <v>70023.100000000006</v>
      </c>
      <c r="Z144">
        <v>30009.9</v>
      </c>
    </row>
    <row r="145" spans="1:56" x14ac:dyDescent="0.3">
      <c r="A145" t="s">
        <v>19</v>
      </c>
      <c r="B145" t="s">
        <v>283</v>
      </c>
      <c r="C145" t="s">
        <v>161</v>
      </c>
      <c r="D145" t="s">
        <v>40</v>
      </c>
      <c r="E145" t="s">
        <v>383</v>
      </c>
      <c r="F145" t="s">
        <v>386</v>
      </c>
    </row>
    <row r="146" spans="1:56" x14ac:dyDescent="0.3">
      <c r="A146" t="s">
        <v>19</v>
      </c>
      <c r="B146" t="s">
        <v>285</v>
      </c>
      <c r="C146" t="s">
        <v>161</v>
      </c>
      <c r="D146" t="s">
        <v>40</v>
      </c>
      <c r="E146" t="s">
        <v>383</v>
      </c>
      <c r="F146" t="s">
        <v>384</v>
      </c>
      <c r="AB146">
        <v>395963.67</v>
      </c>
      <c r="AC146">
        <v>554349.13</v>
      </c>
      <c r="AD146">
        <v>554349.13</v>
      </c>
      <c r="AE146">
        <v>395963.67</v>
      </c>
    </row>
    <row r="147" spans="1:56" x14ac:dyDescent="0.3">
      <c r="A147" t="s">
        <v>19</v>
      </c>
      <c r="B147" t="s">
        <v>285</v>
      </c>
      <c r="C147" t="s">
        <v>161</v>
      </c>
      <c r="D147" t="s">
        <v>40</v>
      </c>
      <c r="E147" t="s">
        <v>383</v>
      </c>
      <c r="F147" t="s">
        <v>385</v>
      </c>
      <c r="AB147">
        <v>395963.67</v>
      </c>
      <c r="AC147">
        <v>554349.13</v>
      </c>
      <c r="AD147">
        <v>554349.13</v>
      </c>
      <c r="AE147">
        <v>395963.67</v>
      </c>
    </row>
    <row r="148" spans="1:56" x14ac:dyDescent="0.3">
      <c r="A148" t="s">
        <v>19</v>
      </c>
      <c r="B148" t="s">
        <v>285</v>
      </c>
      <c r="C148" t="s">
        <v>161</v>
      </c>
      <c r="D148" t="s">
        <v>40</v>
      </c>
      <c r="E148" t="s">
        <v>383</v>
      </c>
      <c r="F148" t="s">
        <v>386</v>
      </c>
    </row>
    <row r="149" spans="1:56" x14ac:dyDescent="0.3">
      <c r="A149" t="s">
        <v>19</v>
      </c>
      <c r="B149" t="s">
        <v>287</v>
      </c>
      <c r="C149" t="s">
        <v>161</v>
      </c>
      <c r="D149" t="s">
        <v>40</v>
      </c>
      <c r="E149" t="s">
        <v>383</v>
      </c>
      <c r="F149" t="s">
        <v>384</v>
      </c>
      <c r="AE149">
        <v>116163.24</v>
      </c>
      <c r="AG149">
        <v>116163.24</v>
      </c>
      <c r="AH149">
        <v>813142.71</v>
      </c>
      <c r="AI149">
        <v>813142.71</v>
      </c>
      <c r="AJ149">
        <v>232326.49</v>
      </c>
    </row>
    <row r="150" spans="1:56" x14ac:dyDescent="0.3">
      <c r="A150" t="s">
        <v>19</v>
      </c>
      <c r="B150" t="s">
        <v>287</v>
      </c>
      <c r="C150" t="s">
        <v>161</v>
      </c>
      <c r="D150" t="s">
        <v>40</v>
      </c>
      <c r="E150" t="s">
        <v>383</v>
      </c>
      <c r="F150" t="s">
        <v>385</v>
      </c>
      <c r="AE150">
        <v>190085.31</v>
      </c>
      <c r="AG150">
        <v>190085.31</v>
      </c>
      <c r="AH150">
        <v>1330597.1599999999</v>
      </c>
      <c r="AI150">
        <v>380170.62</v>
      </c>
    </row>
    <row r="151" spans="1:56" x14ac:dyDescent="0.3">
      <c r="A151" t="s">
        <v>19</v>
      </c>
      <c r="B151" t="s">
        <v>287</v>
      </c>
      <c r="C151" t="s">
        <v>161</v>
      </c>
      <c r="D151" t="s">
        <v>40</v>
      </c>
      <c r="E151" t="s">
        <v>383</v>
      </c>
      <c r="F151" t="s">
        <v>386</v>
      </c>
    </row>
    <row r="152" spans="1:56" x14ac:dyDescent="0.3">
      <c r="A152" t="s">
        <v>19</v>
      </c>
      <c r="B152" t="s">
        <v>289</v>
      </c>
      <c r="C152" t="s">
        <v>161</v>
      </c>
      <c r="D152" t="s">
        <v>40</v>
      </c>
      <c r="E152" t="s">
        <v>383</v>
      </c>
      <c r="F152" t="s">
        <v>384</v>
      </c>
      <c r="AX152">
        <v>251870.84</v>
      </c>
      <c r="AY152">
        <v>881547.93</v>
      </c>
      <c r="AZ152">
        <v>881547.93</v>
      </c>
      <c r="BA152">
        <v>755612.51</v>
      </c>
    </row>
    <row r="153" spans="1:56" x14ac:dyDescent="0.3">
      <c r="A153" t="s">
        <v>19</v>
      </c>
      <c r="B153" t="s">
        <v>289</v>
      </c>
      <c r="C153" t="s">
        <v>161</v>
      </c>
      <c r="D153" t="s">
        <v>40</v>
      </c>
      <c r="E153" t="s">
        <v>383</v>
      </c>
      <c r="F153" t="s">
        <v>385</v>
      </c>
    </row>
    <row r="154" spans="1:56" x14ac:dyDescent="0.3">
      <c r="A154" t="s">
        <v>19</v>
      </c>
      <c r="B154" t="s">
        <v>289</v>
      </c>
      <c r="C154" t="s">
        <v>161</v>
      </c>
      <c r="D154" t="s">
        <v>40</v>
      </c>
      <c r="E154" t="s">
        <v>383</v>
      </c>
      <c r="F154" t="s">
        <v>386</v>
      </c>
      <c r="AX154">
        <v>251870.84</v>
      </c>
      <c r="AY154">
        <v>881547.93</v>
      </c>
      <c r="AZ154">
        <v>881547.93</v>
      </c>
      <c r="BA154">
        <v>755612.51</v>
      </c>
    </row>
    <row r="155" spans="1:56" x14ac:dyDescent="0.3">
      <c r="A155" t="s">
        <v>19</v>
      </c>
      <c r="B155" t="s">
        <v>291</v>
      </c>
      <c r="C155" t="s">
        <v>161</v>
      </c>
      <c r="D155" t="s">
        <v>40</v>
      </c>
      <c r="E155" t="s">
        <v>383</v>
      </c>
      <c r="F155" t="s">
        <v>384</v>
      </c>
      <c r="BA155">
        <v>42996.63</v>
      </c>
      <c r="BB155">
        <v>300976.42</v>
      </c>
      <c r="BC155">
        <v>300976.42</v>
      </c>
      <c r="BD155">
        <v>171986.53</v>
      </c>
    </row>
    <row r="156" spans="1:56" x14ac:dyDescent="0.3">
      <c r="A156" t="s">
        <v>19</v>
      </c>
      <c r="B156" t="s">
        <v>291</v>
      </c>
      <c r="C156" t="s">
        <v>161</v>
      </c>
      <c r="D156" t="s">
        <v>40</v>
      </c>
      <c r="E156" t="s">
        <v>383</v>
      </c>
      <c r="F156" t="s">
        <v>385</v>
      </c>
    </row>
    <row r="157" spans="1:56" x14ac:dyDescent="0.3">
      <c r="A157" t="s">
        <v>19</v>
      </c>
      <c r="B157" t="s">
        <v>291</v>
      </c>
      <c r="C157" t="s">
        <v>161</v>
      </c>
      <c r="D157" t="s">
        <v>40</v>
      </c>
      <c r="E157" t="s">
        <v>383</v>
      </c>
      <c r="F157" t="s">
        <v>386</v>
      </c>
      <c r="BA157">
        <v>42996.63</v>
      </c>
      <c r="BB157">
        <v>300976.42</v>
      </c>
      <c r="BC157">
        <v>300976.42</v>
      </c>
      <c r="BD157">
        <v>171986.53</v>
      </c>
    </row>
    <row r="158" spans="1:56" x14ac:dyDescent="0.3">
      <c r="A158" t="s">
        <v>19</v>
      </c>
      <c r="B158" t="s">
        <v>293</v>
      </c>
      <c r="C158" t="s">
        <v>161</v>
      </c>
      <c r="D158" t="s">
        <v>45</v>
      </c>
      <c r="E158" t="s">
        <v>383</v>
      </c>
      <c r="F158" t="s">
        <v>384</v>
      </c>
      <c r="AS158">
        <v>1587189.2</v>
      </c>
      <c r="AT158">
        <v>2222064.88</v>
      </c>
      <c r="AU158">
        <v>2222064.88</v>
      </c>
      <c r="AV158">
        <v>2222064.88</v>
      </c>
      <c r="AW158">
        <v>1269751.3600000001</v>
      </c>
    </row>
    <row r="159" spans="1:56" x14ac:dyDescent="0.3">
      <c r="A159" t="s">
        <v>19</v>
      </c>
      <c r="B159" t="s">
        <v>293</v>
      </c>
      <c r="C159" t="s">
        <v>161</v>
      </c>
      <c r="D159" t="s">
        <v>45</v>
      </c>
      <c r="E159" t="s">
        <v>383</v>
      </c>
      <c r="F159" t="s">
        <v>385</v>
      </c>
      <c r="AS159">
        <v>1190391.8799999999</v>
      </c>
      <c r="AT159">
        <v>1666548.63</v>
      </c>
      <c r="AU159">
        <v>1666548.63</v>
      </c>
      <c r="AV159">
        <v>1666548.63</v>
      </c>
      <c r="AW159">
        <v>1666548.63</v>
      </c>
      <c r="AX159">
        <v>714235.13</v>
      </c>
    </row>
    <row r="160" spans="1:56" x14ac:dyDescent="0.3">
      <c r="A160" t="s">
        <v>19</v>
      </c>
      <c r="B160" t="s">
        <v>293</v>
      </c>
      <c r="C160" t="s">
        <v>161</v>
      </c>
      <c r="D160" t="s">
        <v>45</v>
      </c>
      <c r="E160" t="s">
        <v>383</v>
      </c>
      <c r="F160" t="s">
        <v>386</v>
      </c>
      <c r="AX160">
        <v>952313.7</v>
      </c>
    </row>
    <row r="161" spans="1:63" x14ac:dyDescent="0.3">
      <c r="A161" t="s">
        <v>19</v>
      </c>
      <c r="B161" t="s">
        <v>298</v>
      </c>
      <c r="C161" t="s">
        <v>161</v>
      </c>
      <c r="D161" t="s">
        <v>31</v>
      </c>
      <c r="E161" t="s">
        <v>383</v>
      </c>
      <c r="F161" t="s">
        <v>384</v>
      </c>
      <c r="BD161">
        <v>961879.96</v>
      </c>
      <c r="BE161">
        <v>2244386.58</v>
      </c>
      <c r="BF161">
        <v>2244386.58</v>
      </c>
      <c r="BG161">
        <v>1603133.27</v>
      </c>
    </row>
    <row r="162" spans="1:63" x14ac:dyDescent="0.3">
      <c r="A162" t="s">
        <v>19</v>
      </c>
      <c r="B162" t="s">
        <v>298</v>
      </c>
      <c r="C162" t="s">
        <v>161</v>
      </c>
      <c r="D162" t="s">
        <v>31</v>
      </c>
      <c r="E162" t="s">
        <v>383</v>
      </c>
      <c r="F162" t="s">
        <v>385</v>
      </c>
    </row>
    <row r="163" spans="1:63" x14ac:dyDescent="0.3">
      <c r="A163" t="s">
        <v>19</v>
      </c>
      <c r="B163" t="s">
        <v>298</v>
      </c>
      <c r="C163" t="s">
        <v>161</v>
      </c>
      <c r="D163" t="s">
        <v>31</v>
      </c>
      <c r="E163" t="s">
        <v>383</v>
      </c>
      <c r="F163" t="s">
        <v>386</v>
      </c>
      <c r="BD163">
        <v>961879.96</v>
      </c>
      <c r="BE163">
        <v>2244386.58</v>
      </c>
      <c r="BF163">
        <v>2244386.58</v>
      </c>
      <c r="BG163">
        <v>1603133.27</v>
      </c>
    </row>
    <row r="164" spans="1:63" x14ac:dyDescent="0.3">
      <c r="A164" t="s">
        <v>19</v>
      </c>
      <c r="B164" t="s">
        <v>301</v>
      </c>
      <c r="C164" t="s">
        <v>161</v>
      </c>
      <c r="D164" t="s">
        <v>61</v>
      </c>
      <c r="E164" t="s">
        <v>383</v>
      </c>
      <c r="F164" t="s">
        <v>384</v>
      </c>
      <c r="BC164">
        <v>44472.44</v>
      </c>
      <c r="BD164">
        <v>35577.96</v>
      </c>
    </row>
    <row r="165" spans="1:63" x14ac:dyDescent="0.3">
      <c r="A165" t="s">
        <v>19</v>
      </c>
      <c r="B165" t="s">
        <v>301</v>
      </c>
      <c r="C165" t="s">
        <v>161</v>
      </c>
      <c r="D165" t="s">
        <v>61</v>
      </c>
      <c r="E165" t="s">
        <v>383</v>
      </c>
      <c r="F165" t="s">
        <v>385</v>
      </c>
    </row>
    <row r="166" spans="1:63" x14ac:dyDescent="0.3">
      <c r="A166" t="s">
        <v>19</v>
      </c>
      <c r="B166" t="s">
        <v>301</v>
      </c>
      <c r="C166" t="s">
        <v>161</v>
      </c>
      <c r="D166" t="s">
        <v>61</v>
      </c>
      <c r="E166" t="s">
        <v>383</v>
      </c>
      <c r="F166" t="s">
        <v>386</v>
      </c>
      <c r="BC166">
        <v>44472.44</v>
      </c>
      <c r="BD166">
        <v>35577.96</v>
      </c>
    </row>
    <row r="167" spans="1:63" x14ac:dyDescent="0.3">
      <c r="A167" t="s">
        <v>19</v>
      </c>
      <c r="B167" t="s">
        <v>304</v>
      </c>
      <c r="C167" t="s">
        <v>161</v>
      </c>
      <c r="D167" t="s">
        <v>64</v>
      </c>
      <c r="E167" t="s">
        <v>383</v>
      </c>
      <c r="F167" t="s">
        <v>384</v>
      </c>
      <c r="BD167">
        <v>16161.36</v>
      </c>
      <c r="BE167">
        <v>37709.839999999997</v>
      </c>
    </row>
    <row r="168" spans="1:63" x14ac:dyDescent="0.3">
      <c r="A168" t="s">
        <v>19</v>
      </c>
      <c r="B168" t="s">
        <v>304</v>
      </c>
      <c r="C168" t="s">
        <v>161</v>
      </c>
      <c r="D168" t="s">
        <v>64</v>
      </c>
      <c r="E168" t="s">
        <v>383</v>
      </c>
      <c r="F168" t="s">
        <v>385</v>
      </c>
    </row>
    <row r="169" spans="1:63" x14ac:dyDescent="0.3">
      <c r="A169" t="s">
        <v>19</v>
      </c>
      <c r="B169" t="s">
        <v>304</v>
      </c>
      <c r="C169" t="s">
        <v>161</v>
      </c>
      <c r="D169" t="s">
        <v>64</v>
      </c>
      <c r="E169" t="s">
        <v>383</v>
      </c>
      <c r="F169" t="s">
        <v>386</v>
      </c>
      <c r="BD169">
        <v>16161.36</v>
      </c>
      <c r="BE169">
        <v>37709.839999999997</v>
      </c>
    </row>
    <row r="170" spans="1:63" x14ac:dyDescent="0.3">
      <c r="A170" t="s">
        <v>19</v>
      </c>
      <c r="B170" t="s">
        <v>306</v>
      </c>
      <c r="C170" t="s">
        <v>161</v>
      </c>
      <c r="D170" t="s">
        <v>35</v>
      </c>
      <c r="E170" t="s">
        <v>383</v>
      </c>
      <c r="F170" t="s">
        <v>384</v>
      </c>
      <c r="BG170">
        <v>116034.86</v>
      </c>
      <c r="BH170">
        <v>406122</v>
      </c>
      <c r="BI170">
        <v>406122</v>
      </c>
      <c r="BJ170">
        <v>406122</v>
      </c>
      <c r="BK170">
        <v>290087.14</v>
      </c>
    </row>
    <row r="171" spans="1:63" x14ac:dyDescent="0.3">
      <c r="A171" t="s">
        <v>19</v>
      </c>
      <c r="B171" t="s">
        <v>306</v>
      </c>
      <c r="C171" t="s">
        <v>161</v>
      </c>
      <c r="D171" t="s">
        <v>35</v>
      </c>
      <c r="E171" t="s">
        <v>383</v>
      </c>
      <c r="F171" t="s">
        <v>385</v>
      </c>
    </row>
    <row r="172" spans="1:63" x14ac:dyDescent="0.3">
      <c r="A172" t="s">
        <v>19</v>
      </c>
      <c r="B172" t="s">
        <v>306</v>
      </c>
      <c r="C172" t="s">
        <v>161</v>
      </c>
      <c r="D172" t="s">
        <v>35</v>
      </c>
      <c r="E172" t="s">
        <v>383</v>
      </c>
      <c r="F172" t="s">
        <v>386</v>
      </c>
      <c r="BG172">
        <v>116034.86</v>
      </c>
      <c r="BH172">
        <v>406122</v>
      </c>
      <c r="BI172">
        <v>406122</v>
      </c>
      <c r="BJ172">
        <v>406122</v>
      </c>
      <c r="BK172">
        <v>290087.14</v>
      </c>
    </row>
    <row r="173" spans="1:63" x14ac:dyDescent="0.3">
      <c r="A173" t="s">
        <v>19</v>
      </c>
      <c r="B173" t="s">
        <v>309</v>
      </c>
      <c r="C173" t="s">
        <v>312</v>
      </c>
      <c r="D173" t="s">
        <v>45</v>
      </c>
      <c r="E173" t="s">
        <v>383</v>
      </c>
      <c r="F173" t="s">
        <v>384</v>
      </c>
    </row>
    <row r="174" spans="1:63" x14ac:dyDescent="0.3">
      <c r="A174" t="s">
        <v>19</v>
      </c>
      <c r="B174" t="s">
        <v>309</v>
      </c>
      <c r="C174" t="s">
        <v>312</v>
      </c>
      <c r="D174" t="s">
        <v>45</v>
      </c>
      <c r="E174" t="s">
        <v>383</v>
      </c>
      <c r="F174" t="s">
        <v>385</v>
      </c>
    </row>
    <row r="175" spans="1:63" x14ac:dyDescent="0.3">
      <c r="A175" t="s">
        <v>19</v>
      </c>
      <c r="B175" t="s">
        <v>309</v>
      </c>
      <c r="C175" t="s">
        <v>312</v>
      </c>
      <c r="D175" t="s">
        <v>45</v>
      </c>
      <c r="E175" t="s">
        <v>383</v>
      </c>
      <c r="F175" t="s">
        <v>386</v>
      </c>
    </row>
    <row r="176" spans="1:63" x14ac:dyDescent="0.3">
      <c r="A176" t="s">
        <v>19</v>
      </c>
      <c r="B176" t="s">
        <v>313</v>
      </c>
      <c r="C176" t="s">
        <v>312</v>
      </c>
      <c r="D176" t="s">
        <v>31</v>
      </c>
      <c r="E176" t="s">
        <v>383</v>
      </c>
      <c r="F176" t="s">
        <v>384</v>
      </c>
    </row>
    <row r="177" spans="1:6" x14ac:dyDescent="0.3">
      <c r="A177" t="s">
        <v>19</v>
      </c>
      <c r="B177" t="s">
        <v>313</v>
      </c>
      <c r="C177" t="s">
        <v>312</v>
      </c>
      <c r="D177" t="s">
        <v>31</v>
      </c>
      <c r="E177" t="s">
        <v>383</v>
      </c>
      <c r="F177" t="s">
        <v>385</v>
      </c>
    </row>
    <row r="178" spans="1:6" x14ac:dyDescent="0.3">
      <c r="A178" t="s">
        <v>19</v>
      </c>
      <c r="B178" t="s">
        <v>313</v>
      </c>
      <c r="C178" t="s">
        <v>312</v>
      </c>
      <c r="D178" t="s">
        <v>31</v>
      </c>
      <c r="E178" t="s">
        <v>383</v>
      </c>
      <c r="F178" t="s">
        <v>386</v>
      </c>
    </row>
    <row r="179" spans="1:6" x14ac:dyDescent="0.3">
      <c r="A179" t="s">
        <v>19</v>
      </c>
      <c r="B179" t="s">
        <v>316</v>
      </c>
      <c r="C179" t="s">
        <v>312</v>
      </c>
      <c r="D179" t="s">
        <v>61</v>
      </c>
      <c r="E179" t="s">
        <v>383</v>
      </c>
      <c r="F179" t="s">
        <v>384</v>
      </c>
    </row>
    <row r="180" spans="1:6" x14ac:dyDescent="0.3">
      <c r="A180" t="s">
        <v>19</v>
      </c>
      <c r="B180" t="s">
        <v>316</v>
      </c>
      <c r="C180" t="s">
        <v>312</v>
      </c>
      <c r="D180" t="s">
        <v>61</v>
      </c>
      <c r="E180" t="s">
        <v>383</v>
      </c>
      <c r="F180" t="s">
        <v>385</v>
      </c>
    </row>
    <row r="181" spans="1:6" x14ac:dyDescent="0.3">
      <c r="A181" t="s">
        <v>19</v>
      </c>
      <c r="B181" t="s">
        <v>316</v>
      </c>
      <c r="C181" t="s">
        <v>312</v>
      </c>
      <c r="D181" t="s">
        <v>61</v>
      </c>
      <c r="E181" t="s">
        <v>383</v>
      </c>
      <c r="F181" t="s">
        <v>386</v>
      </c>
    </row>
    <row r="182" spans="1:6" x14ac:dyDescent="0.3">
      <c r="A182" t="s">
        <v>19</v>
      </c>
      <c r="B182" t="s">
        <v>319</v>
      </c>
      <c r="C182" t="s">
        <v>312</v>
      </c>
      <c r="D182" t="s">
        <v>64</v>
      </c>
      <c r="E182" t="s">
        <v>383</v>
      </c>
      <c r="F182" t="s">
        <v>384</v>
      </c>
    </row>
    <row r="183" spans="1:6" x14ac:dyDescent="0.3">
      <c r="A183" t="s">
        <v>19</v>
      </c>
      <c r="B183" t="s">
        <v>319</v>
      </c>
      <c r="C183" t="s">
        <v>312</v>
      </c>
      <c r="D183" t="s">
        <v>64</v>
      </c>
      <c r="E183" t="s">
        <v>383</v>
      </c>
      <c r="F183" t="s">
        <v>385</v>
      </c>
    </row>
    <row r="184" spans="1:6" x14ac:dyDescent="0.3">
      <c r="A184" t="s">
        <v>19</v>
      </c>
      <c r="B184" t="s">
        <v>319</v>
      </c>
      <c r="C184" t="s">
        <v>312</v>
      </c>
      <c r="D184" t="s">
        <v>64</v>
      </c>
      <c r="E184" t="s">
        <v>383</v>
      </c>
      <c r="F184" t="s">
        <v>386</v>
      </c>
    </row>
    <row r="185" spans="1:6" x14ac:dyDescent="0.3">
      <c r="A185" t="s">
        <v>19</v>
      </c>
      <c r="B185" t="s">
        <v>321</v>
      </c>
      <c r="C185" t="s">
        <v>312</v>
      </c>
      <c r="D185" t="s">
        <v>35</v>
      </c>
      <c r="E185" t="s">
        <v>383</v>
      </c>
      <c r="F185" t="s">
        <v>384</v>
      </c>
    </row>
    <row r="186" spans="1:6" x14ac:dyDescent="0.3">
      <c r="A186" t="s">
        <v>19</v>
      </c>
      <c r="B186" t="s">
        <v>321</v>
      </c>
      <c r="C186" t="s">
        <v>312</v>
      </c>
      <c r="D186" t="s">
        <v>35</v>
      </c>
      <c r="E186" t="s">
        <v>383</v>
      </c>
      <c r="F186" t="s">
        <v>385</v>
      </c>
    </row>
    <row r="187" spans="1:6" x14ac:dyDescent="0.3">
      <c r="A187" t="s">
        <v>19</v>
      </c>
      <c r="B187" t="s">
        <v>321</v>
      </c>
      <c r="C187" t="s">
        <v>312</v>
      </c>
      <c r="D187" t="s">
        <v>35</v>
      </c>
      <c r="E187" t="s">
        <v>383</v>
      </c>
      <c r="F187" t="s">
        <v>386</v>
      </c>
    </row>
    <row r="188" spans="1:6" x14ac:dyDescent="0.3">
      <c r="A188" t="s">
        <v>19</v>
      </c>
      <c r="B188" t="s">
        <v>324</v>
      </c>
      <c r="C188" t="s">
        <v>312</v>
      </c>
      <c r="D188" t="s">
        <v>45</v>
      </c>
      <c r="E188" t="s">
        <v>383</v>
      </c>
      <c r="F188" t="s">
        <v>384</v>
      </c>
    </row>
    <row r="189" spans="1:6" x14ac:dyDescent="0.3">
      <c r="A189" t="s">
        <v>19</v>
      </c>
      <c r="B189" t="s">
        <v>324</v>
      </c>
      <c r="C189" t="s">
        <v>312</v>
      </c>
      <c r="D189" t="s">
        <v>45</v>
      </c>
      <c r="E189" t="s">
        <v>383</v>
      </c>
      <c r="F189" t="s">
        <v>385</v>
      </c>
    </row>
    <row r="190" spans="1:6" x14ac:dyDescent="0.3">
      <c r="A190" t="s">
        <v>19</v>
      </c>
      <c r="B190" t="s">
        <v>324</v>
      </c>
      <c r="C190" t="s">
        <v>312</v>
      </c>
      <c r="D190" t="s">
        <v>45</v>
      </c>
      <c r="E190" t="s">
        <v>383</v>
      </c>
      <c r="F190" t="s">
        <v>386</v>
      </c>
    </row>
    <row r="191" spans="1:6" x14ac:dyDescent="0.3">
      <c r="A191" t="s">
        <v>19</v>
      </c>
      <c r="B191" t="s">
        <v>327</v>
      </c>
      <c r="C191" t="s">
        <v>312</v>
      </c>
      <c r="D191" t="s">
        <v>31</v>
      </c>
      <c r="E191" t="s">
        <v>383</v>
      </c>
      <c r="F191" t="s">
        <v>384</v>
      </c>
    </row>
    <row r="192" spans="1:6" x14ac:dyDescent="0.3">
      <c r="A192" t="s">
        <v>19</v>
      </c>
      <c r="B192" t="s">
        <v>327</v>
      </c>
      <c r="C192" t="s">
        <v>312</v>
      </c>
      <c r="D192" t="s">
        <v>31</v>
      </c>
      <c r="E192" t="s">
        <v>383</v>
      </c>
      <c r="F192" t="s">
        <v>385</v>
      </c>
    </row>
    <row r="193" spans="1:6" x14ac:dyDescent="0.3">
      <c r="A193" t="s">
        <v>19</v>
      </c>
      <c r="B193" t="s">
        <v>327</v>
      </c>
      <c r="C193" t="s">
        <v>312</v>
      </c>
      <c r="D193" t="s">
        <v>31</v>
      </c>
      <c r="E193" t="s">
        <v>383</v>
      </c>
      <c r="F193" t="s">
        <v>386</v>
      </c>
    </row>
    <row r="194" spans="1:6" x14ac:dyDescent="0.3">
      <c r="A194" t="s">
        <v>19</v>
      </c>
      <c r="B194" t="s">
        <v>330</v>
      </c>
      <c r="C194" t="s">
        <v>312</v>
      </c>
      <c r="D194" t="s">
        <v>61</v>
      </c>
      <c r="E194" t="s">
        <v>383</v>
      </c>
      <c r="F194" t="s">
        <v>384</v>
      </c>
    </row>
    <row r="195" spans="1:6" x14ac:dyDescent="0.3">
      <c r="A195" t="s">
        <v>19</v>
      </c>
      <c r="B195" t="s">
        <v>330</v>
      </c>
      <c r="C195" t="s">
        <v>312</v>
      </c>
      <c r="D195" t="s">
        <v>61</v>
      </c>
      <c r="E195" t="s">
        <v>383</v>
      </c>
      <c r="F195" t="s">
        <v>385</v>
      </c>
    </row>
    <row r="196" spans="1:6" x14ac:dyDescent="0.3">
      <c r="A196" t="s">
        <v>19</v>
      </c>
      <c r="B196" t="s">
        <v>330</v>
      </c>
      <c r="C196" t="s">
        <v>312</v>
      </c>
      <c r="D196" t="s">
        <v>61</v>
      </c>
      <c r="E196" t="s">
        <v>383</v>
      </c>
      <c r="F196" t="s">
        <v>386</v>
      </c>
    </row>
    <row r="197" spans="1:6" x14ac:dyDescent="0.3">
      <c r="A197" t="s">
        <v>19</v>
      </c>
      <c r="B197" t="s">
        <v>333</v>
      </c>
      <c r="C197" t="s">
        <v>312</v>
      </c>
      <c r="D197" t="s">
        <v>64</v>
      </c>
      <c r="E197" t="s">
        <v>383</v>
      </c>
      <c r="F197" t="s">
        <v>384</v>
      </c>
    </row>
    <row r="198" spans="1:6" x14ac:dyDescent="0.3">
      <c r="A198" t="s">
        <v>19</v>
      </c>
      <c r="B198" t="s">
        <v>333</v>
      </c>
      <c r="C198" t="s">
        <v>312</v>
      </c>
      <c r="D198" t="s">
        <v>64</v>
      </c>
      <c r="E198" t="s">
        <v>383</v>
      </c>
      <c r="F198" t="s">
        <v>385</v>
      </c>
    </row>
    <row r="199" spans="1:6" x14ac:dyDescent="0.3">
      <c r="A199" t="s">
        <v>19</v>
      </c>
      <c r="B199" t="s">
        <v>333</v>
      </c>
      <c r="C199" t="s">
        <v>312</v>
      </c>
      <c r="D199" t="s">
        <v>64</v>
      </c>
      <c r="E199" t="s">
        <v>383</v>
      </c>
      <c r="F199" t="s">
        <v>386</v>
      </c>
    </row>
    <row r="200" spans="1:6" x14ac:dyDescent="0.3">
      <c r="A200" t="s">
        <v>19</v>
      </c>
      <c r="B200" t="s">
        <v>335</v>
      </c>
      <c r="C200" t="s">
        <v>312</v>
      </c>
      <c r="D200" t="s">
        <v>35</v>
      </c>
      <c r="E200" t="s">
        <v>383</v>
      </c>
      <c r="F200" t="s">
        <v>384</v>
      </c>
    </row>
    <row r="201" spans="1:6" x14ac:dyDescent="0.3">
      <c r="A201" t="s">
        <v>19</v>
      </c>
      <c r="B201" t="s">
        <v>335</v>
      </c>
      <c r="C201" t="s">
        <v>312</v>
      </c>
      <c r="D201" t="s">
        <v>35</v>
      </c>
      <c r="E201" t="s">
        <v>383</v>
      </c>
      <c r="F201" t="s">
        <v>385</v>
      </c>
    </row>
    <row r="202" spans="1:6" x14ac:dyDescent="0.3">
      <c r="A202" t="s">
        <v>19</v>
      </c>
      <c r="B202" t="s">
        <v>335</v>
      </c>
      <c r="C202" t="s">
        <v>312</v>
      </c>
      <c r="D202" t="s">
        <v>35</v>
      </c>
      <c r="E202" t="s">
        <v>383</v>
      </c>
      <c r="F202" t="s">
        <v>386</v>
      </c>
    </row>
    <row r="203" spans="1:6" x14ac:dyDescent="0.3">
      <c r="A203" t="s">
        <v>19</v>
      </c>
      <c r="B203" t="s">
        <v>338</v>
      </c>
      <c r="C203" t="s">
        <v>312</v>
      </c>
      <c r="D203" t="s">
        <v>45</v>
      </c>
      <c r="E203" t="s">
        <v>383</v>
      </c>
      <c r="F203" t="s">
        <v>384</v>
      </c>
    </row>
    <row r="204" spans="1:6" x14ac:dyDescent="0.3">
      <c r="A204" t="s">
        <v>19</v>
      </c>
      <c r="B204" t="s">
        <v>338</v>
      </c>
      <c r="C204" t="s">
        <v>312</v>
      </c>
      <c r="D204" t="s">
        <v>45</v>
      </c>
      <c r="E204" t="s">
        <v>383</v>
      </c>
      <c r="F204" t="s">
        <v>385</v>
      </c>
    </row>
    <row r="205" spans="1:6" x14ac:dyDescent="0.3">
      <c r="A205" t="s">
        <v>19</v>
      </c>
      <c r="B205" t="s">
        <v>338</v>
      </c>
      <c r="C205" t="s">
        <v>312</v>
      </c>
      <c r="D205" t="s">
        <v>45</v>
      </c>
      <c r="E205" t="s">
        <v>383</v>
      </c>
      <c r="F205" t="s">
        <v>386</v>
      </c>
    </row>
    <row r="206" spans="1:6" x14ac:dyDescent="0.3">
      <c r="A206" t="s">
        <v>19</v>
      </c>
      <c r="B206" t="s">
        <v>342</v>
      </c>
      <c r="C206" t="s">
        <v>312</v>
      </c>
      <c r="D206" t="s">
        <v>31</v>
      </c>
      <c r="E206" t="s">
        <v>383</v>
      </c>
      <c r="F206" t="s">
        <v>384</v>
      </c>
    </row>
    <row r="207" spans="1:6" x14ac:dyDescent="0.3">
      <c r="A207" t="s">
        <v>19</v>
      </c>
      <c r="B207" t="s">
        <v>342</v>
      </c>
      <c r="C207" t="s">
        <v>312</v>
      </c>
      <c r="D207" t="s">
        <v>31</v>
      </c>
      <c r="E207" t="s">
        <v>383</v>
      </c>
      <c r="F207" t="s">
        <v>385</v>
      </c>
    </row>
    <row r="208" spans="1:6" x14ac:dyDescent="0.3">
      <c r="A208" t="s">
        <v>19</v>
      </c>
      <c r="B208" t="s">
        <v>342</v>
      </c>
      <c r="C208" t="s">
        <v>312</v>
      </c>
      <c r="D208" t="s">
        <v>31</v>
      </c>
      <c r="E208" t="s">
        <v>383</v>
      </c>
      <c r="F208" t="s">
        <v>386</v>
      </c>
    </row>
    <row r="209" spans="1:6" x14ac:dyDescent="0.3">
      <c r="A209" t="s">
        <v>19</v>
      </c>
      <c r="B209" t="s">
        <v>345</v>
      </c>
      <c r="C209" t="s">
        <v>312</v>
      </c>
      <c r="D209" t="s">
        <v>61</v>
      </c>
      <c r="E209" t="s">
        <v>383</v>
      </c>
      <c r="F209" t="s">
        <v>384</v>
      </c>
    </row>
    <row r="210" spans="1:6" x14ac:dyDescent="0.3">
      <c r="A210" t="s">
        <v>19</v>
      </c>
      <c r="B210" t="s">
        <v>345</v>
      </c>
      <c r="C210" t="s">
        <v>312</v>
      </c>
      <c r="D210" t="s">
        <v>61</v>
      </c>
      <c r="E210" t="s">
        <v>383</v>
      </c>
      <c r="F210" t="s">
        <v>385</v>
      </c>
    </row>
    <row r="211" spans="1:6" x14ac:dyDescent="0.3">
      <c r="A211" t="s">
        <v>19</v>
      </c>
      <c r="B211" t="s">
        <v>345</v>
      </c>
      <c r="C211" t="s">
        <v>312</v>
      </c>
      <c r="D211" t="s">
        <v>61</v>
      </c>
      <c r="E211" t="s">
        <v>383</v>
      </c>
      <c r="F211" t="s">
        <v>386</v>
      </c>
    </row>
    <row r="212" spans="1:6" x14ac:dyDescent="0.3">
      <c r="A212" t="s">
        <v>19</v>
      </c>
      <c r="B212" t="s">
        <v>348</v>
      </c>
      <c r="C212" t="s">
        <v>312</v>
      </c>
      <c r="D212" t="s">
        <v>64</v>
      </c>
      <c r="E212" t="s">
        <v>383</v>
      </c>
      <c r="F212" t="s">
        <v>384</v>
      </c>
    </row>
    <row r="213" spans="1:6" x14ac:dyDescent="0.3">
      <c r="A213" t="s">
        <v>19</v>
      </c>
      <c r="B213" t="s">
        <v>348</v>
      </c>
      <c r="C213" t="s">
        <v>312</v>
      </c>
      <c r="D213" t="s">
        <v>64</v>
      </c>
      <c r="E213" t="s">
        <v>383</v>
      </c>
      <c r="F213" t="s">
        <v>385</v>
      </c>
    </row>
    <row r="214" spans="1:6" x14ac:dyDescent="0.3">
      <c r="A214" t="s">
        <v>19</v>
      </c>
      <c r="B214" t="s">
        <v>348</v>
      </c>
      <c r="C214" t="s">
        <v>312</v>
      </c>
      <c r="D214" t="s">
        <v>64</v>
      </c>
      <c r="E214" t="s">
        <v>383</v>
      </c>
      <c r="F214" t="s">
        <v>386</v>
      </c>
    </row>
    <row r="215" spans="1:6" x14ac:dyDescent="0.3">
      <c r="A215" t="s">
        <v>19</v>
      </c>
      <c r="B215" t="s">
        <v>350</v>
      </c>
      <c r="C215" t="s">
        <v>312</v>
      </c>
      <c r="D215" t="s">
        <v>35</v>
      </c>
      <c r="E215" t="s">
        <v>383</v>
      </c>
      <c r="F215" t="s">
        <v>384</v>
      </c>
    </row>
    <row r="216" spans="1:6" x14ac:dyDescent="0.3">
      <c r="A216" t="s">
        <v>19</v>
      </c>
      <c r="B216" t="s">
        <v>350</v>
      </c>
      <c r="C216" t="s">
        <v>312</v>
      </c>
      <c r="D216" t="s">
        <v>35</v>
      </c>
      <c r="E216" t="s">
        <v>383</v>
      </c>
      <c r="F216" t="s">
        <v>385</v>
      </c>
    </row>
    <row r="217" spans="1:6" x14ac:dyDescent="0.3">
      <c r="A217" t="s">
        <v>19</v>
      </c>
      <c r="B217" t="s">
        <v>350</v>
      </c>
      <c r="C217" t="s">
        <v>312</v>
      </c>
      <c r="D217" t="s">
        <v>35</v>
      </c>
      <c r="E217" t="s">
        <v>383</v>
      </c>
      <c r="F217" t="s">
        <v>386</v>
      </c>
    </row>
    <row r="218" spans="1:6" x14ac:dyDescent="0.3">
      <c r="A218" t="s">
        <v>19</v>
      </c>
      <c r="B218" t="s">
        <v>353</v>
      </c>
      <c r="C218" t="s">
        <v>312</v>
      </c>
      <c r="D218" t="s">
        <v>45</v>
      </c>
      <c r="E218" t="s">
        <v>383</v>
      </c>
      <c r="F218" t="s">
        <v>384</v>
      </c>
    </row>
    <row r="219" spans="1:6" x14ac:dyDescent="0.3">
      <c r="A219" t="s">
        <v>19</v>
      </c>
      <c r="B219" t="s">
        <v>353</v>
      </c>
      <c r="C219" t="s">
        <v>312</v>
      </c>
      <c r="D219" t="s">
        <v>45</v>
      </c>
      <c r="E219" t="s">
        <v>383</v>
      </c>
      <c r="F219" t="s">
        <v>385</v>
      </c>
    </row>
    <row r="220" spans="1:6" x14ac:dyDescent="0.3">
      <c r="A220" t="s">
        <v>19</v>
      </c>
      <c r="B220" t="s">
        <v>353</v>
      </c>
      <c r="C220" t="s">
        <v>312</v>
      </c>
      <c r="D220" t="s">
        <v>45</v>
      </c>
      <c r="E220" t="s">
        <v>383</v>
      </c>
      <c r="F220" t="s">
        <v>386</v>
      </c>
    </row>
    <row r="221" spans="1:6" x14ac:dyDescent="0.3">
      <c r="A221" t="s">
        <v>19</v>
      </c>
      <c r="B221" t="s">
        <v>356</v>
      </c>
      <c r="C221" t="s">
        <v>312</v>
      </c>
      <c r="D221" t="s">
        <v>31</v>
      </c>
      <c r="E221" t="s">
        <v>383</v>
      </c>
      <c r="F221" t="s">
        <v>384</v>
      </c>
    </row>
    <row r="222" spans="1:6" x14ac:dyDescent="0.3">
      <c r="A222" t="s">
        <v>19</v>
      </c>
      <c r="B222" t="s">
        <v>356</v>
      </c>
      <c r="C222" t="s">
        <v>312</v>
      </c>
      <c r="D222" t="s">
        <v>31</v>
      </c>
      <c r="E222" t="s">
        <v>383</v>
      </c>
      <c r="F222" t="s">
        <v>385</v>
      </c>
    </row>
    <row r="223" spans="1:6" x14ac:dyDescent="0.3">
      <c r="A223" t="s">
        <v>19</v>
      </c>
      <c r="B223" t="s">
        <v>356</v>
      </c>
      <c r="C223" t="s">
        <v>312</v>
      </c>
      <c r="D223" t="s">
        <v>31</v>
      </c>
      <c r="E223" t="s">
        <v>383</v>
      </c>
      <c r="F223" t="s">
        <v>386</v>
      </c>
    </row>
    <row r="224" spans="1:6" x14ac:dyDescent="0.3">
      <c r="A224" t="s">
        <v>19</v>
      </c>
      <c r="B224" t="s">
        <v>359</v>
      </c>
      <c r="C224" t="s">
        <v>312</v>
      </c>
      <c r="D224" t="s">
        <v>61</v>
      </c>
      <c r="E224" t="s">
        <v>383</v>
      </c>
      <c r="F224" t="s">
        <v>384</v>
      </c>
    </row>
    <row r="225" spans="1:9" x14ac:dyDescent="0.3">
      <c r="A225" t="s">
        <v>19</v>
      </c>
      <c r="B225" t="s">
        <v>359</v>
      </c>
      <c r="C225" t="s">
        <v>312</v>
      </c>
      <c r="D225" t="s">
        <v>61</v>
      </c>
      <c r="E225" t="s">
        <v>383</v>
      </c>
      <c r="F225" t="s">
        <v>385</v>
      </c>
    </row>
    <row r="226" spans="1:9" x14ac:dyDescent="0.3">
      <c r="A226" t="s">
        <v>19</v>
      </c>
      <c r="B226" t="s">
        <v>359</v>
      </c>
      <c r="C226" t="s">
        <v>312</v>
      </c>
      <c r="D226" t="s">
        <v>61</v>
      </c>
      <c r="E226" t="s">
        <v>383</v>
      </c>
      <c r="F226" t="s">
        <v>386</v>
      </c>
    </row>
    <row r="227" spans="1:9" x14ac:dyDescent="0.3">
      <c r="A227" t="s">
        <v>19</v>
      </c>
      <c r="B227" t="s">
        <v>362</v>
      </c>
      <c r="C227" t="s">
        <v>312</v>
      </c>
      <c r="D227" t="s">
        <v>64</v>
      </c>
      <c r="E227" t="s">
        <v>383</v>
      </c>
      <c r="F227" t="s">
        <v>384</v>
      </c>
    </row>
    <row r="228" spans="1:9" x14ac:dyDescent="0.3">
      <c r="A228" t="s">
        <v>19</v>
      </c>
      <c r="B228" t="s">
        <v>362</v>
      </c>
      <c r="C228" t="s">
        <v>312</v>
      </c>
      <c r="D228" t="s">
        <v>64</v>
      </c>
      <c r="E228" t="s">
        <v>383</v>
      </c>
      <c r="F228" t="s">
        <v>385</v>
      </c>
    </row>
    <row r="229" spans="1:9" x14ac:dyDescent="0.3">
      <c r="A229" t="s">
        <v>19</v>
      </c>
      <c r="B229" t="s">
        <v>362</v>
      </c>
      <c r="C229" t="s">
        <v>312</v>
      </c>
      <c r="D229" t="s">
        <v>64</v>
      </c>
      <c r="E229" t="s">
        <v>383</v>
      </c>
      <c r="F229" t="s">
        <v>386</v>
      </c>
    </row>
    <row r="230" spans="1:9" x14ac:dyDescent="0.3">
      <c r="A230" t="s">
        <v>19</v>
      </c>
      <c r="B230" t="s">
        <v>364</v>
      </c>
      <c r="C230" t="s">
        <v>312</v>
      </c>
      <c r="D230" t="s">
        <v>35</v>
      </c>
      <c r="E230" t="s">
        <v>383</v>
      </c>
      <c r="F230" t="s">
        <v>384</v>
      </c>
    </row>
    <row r="231" spans="1:9" x14ac:dyDescent="0.3">
      <c r="A231" t="s">
        <v>19</v>
      </c>
      <c r="B231" t="s">
        <v>364</v>
      </c>
      <c r="C231" t="s">
        <v>312</v>
      </c>
      <c r="D231" t="s">
        <v>35</v>
      </c>
      <c r="E231" t="s">
        <v>383</v>
      </c>
      <c r="F231" t="s">
        <v>385</v>
      </c>
    </row>
    <row r="232" spans="1:9" x14ac:dyDescent="0.3">
      <c r="A232" t="s">
        <v>19</v>
      </c>
      <c r="B232" t="s">
        <v>364</v>
      </c>
      <c r="C232" t="s">
        <v>312</v>
      </c>
      <c r="D232" t="s">
        <v>35</v>
      </c>
      <c r="E232" t="s">
        <v>383</v>
      </c>
      <c r="F232" t="s">
        <v>386</v>
      </c>
    </row>
    <row r="233" spans="1:9" x14ac:dyDescent="0.3">
      <c r="A233" t="s">
        <v>19</v>
      </c>
      <c r="B233" t="s">
        <v>20</v>
      </c>
      <c r="C233" t="s">
        <v>24</v>
      </c>
      <c r="D233" t="s">
        <v>25</v>
      </c>
      <c r="E233" t="s">
        <v>387</v>
      </c>
      <c r="F233" t="s">
        <v>384</v>
      </c>
      <c r="G233">
        <v>786540.8</v>
      </c>
    </row>
    <row r="234" spans="1:9" x14ac:dyDescent="0.3">
      <c r="A234" t="s">
        <v>19</v>
      </c>
      <c r="B234" t="s">
        <v>20</v>
      </c>
      <c r="C234" t="s">
        <v>24</v>
      </c>
      <c r="D234" t="s">
        <v>25</v>
      </c>
      <c r="E234" t="s">
        <v>387</v>
      </c>
      <c r="F234" t="s">
        <v>385</v>
      </c>
      <c r="G234">
        <v>786540.8</v>
      </c>
    </row>
    <row r="235" spans="1:9" x14ac:dyDescent="0.3">
      <c r="A235" t="s">
        <v>19</v>
      </c>
      <c r="B235" t="s">
        <v>20</v>
      </c>
      <c r="C235" t="s">
        <v>24</v>
      </c>
      <c r="D235" t="s">
        <v>25</v>
      </c>
      <c r="E235" t="s">
        <v>387</v>
      </c>
      <c r="F235" t="s">
        <v>386</v>
      </c>
    </row>
    <row r="236" spans="1:9" x14ac:dyDescent="0.3">
      <c r="A236" t="s">
        <v>19</v>
      </c>
      <c r="B236" t="s">
        <v>29</v>
      </c>
      <c r="C236" t="s">
        <v>24</v>
      </c>
      <c r="D236" t="s">
        <v>31</v>
      </c>
      <c r="E236" t="s">
        <v>387</v>
      </c>
      <c r="F236" t="s">
        <v>384</v>
      </c>
      <c r="G236">
        <v>674177.83</v>
      </c>
      <c r="H236">
        <v>112362.97</v>
      </c>
    </row>
    <row r="237" spans="1:9" x14ac:dyDescent="0.3">
      <c r="A237" t="s">
        <v>19</v>
      </c>
      <c r="B237" t="s">
        <v>29</v>
      </c>
      <c r="C237" t="s">
        <v>24</v>
      </c>
      <c r="D237" t="s">
        <v>31</v>
      </c>
      <c r="E237" t="s">
        <v>387</v>
      </c>
      <c r="F237" t="s">
        <v>385</v>
      </c>
      <c r="G237">
        <v>674177.83</v>
      </c>
      <c r="H237">
        <v>112362.97</v>
      </c>
    </row>
    <row r="238" spans="1:9" x14ac:dyDescent="0.3">
      <c r="A238" t="s">
        <v>19</v>
      </c>
      <c r="B238" t="s">
        <v>29</v>
      </c>
      <c r="C238" t="s">
        <v>24</v>
      </c>
      <c r="D238" t="s">
        <v>31</v>
      </c>
      <c r="E238" t="s">
        <v>387</v>
      </c>
      <c r="F238" t="s">
        <v>386</v>
      </c>
    </row>
    <row r="239" spans="1:9" x14ac:dyDescent="0.3">
      <c r="A239" t="s">
        <v>19</v>
      </c>
      <c r="B239" t="s">
        <v>33</v>
      </c>
      <c r="C239" t="s">
        <v>24</v>
      </c>
      <c r="D239" t="s">
        <v>35</v>
      </c>
      <c r="E239" t="s">
        <v>387</v>
      </c>
      <c r="F239" t="s">
        <v>384</v>
      </c>
      <c r="H239">
        <v>471924.47999999998</v>
      </c>
      <c r="I239">
        <v>314616.32000000001</v>
      </c>
    </row>
    <row r="240" spans="1:9" x14ac:dyDescent="0.3">
      <c r="A240" t="s">
        <v>19</v>
      </c>
      <c r="B240" t="s">
        <v>33</v>
      </c>
      <c r="C240" t="s">
        <v>24</v>
      </c>
      <c r="D240" t="s">
        <v>35</v>
      </c>
      <c r="E240" t="s">
        <v>387</v>
      </c>
      <c r="F240" t="s">
        <v>385</v>
      </c>
      <c r="H240">
        <v>471924.47999999998</v>
      </c>
      <c r="I240">
        <v>314616.32000000001</v>
      </c>
    </row>
    <row r="241" spans="1:10" x14ac:dyDescent="0.3">
      <c r="A241" t="s">
        <v>19</v>
      </c>
      <c r="B241" t="s">
        <v>33</v>
      </c>
      <c r="C241" t="s">
        <v>24</v>
      </c>
      <c r="D241" t="s">
        <v>35</v>
      </c>
      <c r="E241" t="s">
        <v>387</v>
      </c>
      <c r="F241" t="s">
        <v>386</v>
      </c>
    </row>
    <row r="242" spans="1:10" x14ac:dyDescent="0.3">
      <c r="A242" t="s">
        <v>19</v>
      </c>
      <c r="B242" t="s">
        <v>37</v>
      </c>
      <c r="C242" t="s">
        <v>24</v>
      </c>
      <c r="D242" t="s">
        <v>40</v>
      </c>
      <c r="E242" t="s">
        <v>387</v>
      </c>
      <c r="F242" t="s">
        <v>384</v>
      </c>
      <c r="G242">
        <v>786540.8</v>
      </c>
    </row>
    <row r="243" spans="1:10" x14ac:dyDescent="0.3">
      <c r="A243" t="s">
        <v>19</v>
      </c>
      <c r="B243" t="s">
        <v>37</v>
      </c>
      <c r="C243" t="s">
        <v>24</v>
      </c>
      <c r="D243" t="s">
        <v>40</v>
      </c>
      <c r="E243" t="s">
        <v>387</v>
      </c>
      <c r="F243" t="s">
        <v>385</v>
      </c>
      <c r="G243">
        <v>786540.8</v>
      </c>
    </row>
    <row r="244" spans="1:10" x14ac:dyDescent="0.3">
      <c r="A244" t="s">
        <v>19</v>
      </c>
      <c r="B244" t="s">
        <v>37</v>
      </c>
      <c r="C244" t="s">
        <v>24</v>
      </c>
      <c r="D244" t="s">
        <v>40</v>
      </c>
      <c r="E244" t="s">
        <v>387</v>
      </c>
      <c r="F244" t="s">
        <v>386</v>
      </c>
    </row>
    <row r="245" spans="1:10" x14ac:dyDescent="0.3">
      <c r="A245" t="s">
        <v>19</v>
      </c>
      <c r="B245" t="s">
        <v>42</v>
      </c>
      <c r="C245" t="s">
        <v>24</v>
      </c>
      <c r="D245" t="s">
        <v>45</v>
      </c>
      <c r="E245" t="s">
        <v>387</v>
      </c>
      <c r="F245" t="s">
        <v>384</v>
      </c>
      <c r="G245">
        <v>674177.83</v>
      </c>
      <c r="H245">
        <v>112362.97</v>
      </c>
    </row>
    <row r="246" spans="1:10" x14ac:dyDescent="0.3">
      <c r="A246" t="s">
        <v>19</v>
      </c>
      <c r="B246" t="s">
        <v>42</v>
      </c>
      <c r="C246" t="s">
        <v>24</v>
      </c>
      <c r="D246" t="s">
        <v>45</v>
      </c>
      <c r="E246" t="s">
        <v>387</v>
      </c>
      <c r="F246" t="s">
        <v>385</v>
      </c>
      <c r="G246">
        <v>674177.83</v>
      </c>
      <c r="H246">
        <v>112362.97</v>
      </c>
    </row>
    <row r="247" spans="1:10" x14ac:dyDescent="0.3">
      <c r="A247" t="s">
        <v>19</v>
      </c>
      <c r="B247" t="s">
        <v>42</v>
      </c>
      <c r="C247" t="s">
        <v>24</v>
      </c>
      <c r="D247" t="s">
        <v>45</v>
      </c>
      <c r="E247" t="s">
        <v>387</v>
      </c>
      <c r="F247" t="s">
        <v>386</v>
      </c>
    </row>
    <row r="248" spans="1:10" x14ac:dyDescent="0.3">
      <c r="A248" t="s">
        <v>19</v>
      </c>
      <c r="B248" t="s">
        <v>46</v>
      </c>
      <c r="C248" t="s">
        <v>24</v>
      </c>
      <c r="D248" t="s">
        <v>31</v>
      </c>
      <c r="E248" t="s">
        <v>387</v>
      </c>
      <c r="F248" t="s">
        <v>384</v>
      </c>
      <c r="H248">
        <v>589905.6</v>
      </c>
      <c r="I248">
        <v>196635.2</v>
      </c>
    </row>
    <row r="249" spans="1:10" x14ac:dyDescent="0.3">
      <c r="A249" t="s">
        <v>19</v>
      </c>
      <c r="B249" t="s">
        <v>46</v>
      </c>
      <c r="C249" t="s">
        <v>24</v>
      </c>
      <c r="D249" t="s">
        <v>31</v>
      </c>
      <c r="E249" t="s">
        <v>387</v>
      </c>
      <c r="F249" t="s">
        <v>385</v>
      </c>
      <c r="H249">
        <v>589905.6</v>
      </c>
      <c r="I249">
        <v>196635.2</v>
      </c>
    </row>
    <row r="250" spans="1:10" x14ac:dyDescent="0.3">
      <c r="A250" t="s">
        <v>19</v>
      </c>
      <c r="B250" t="s">
        <v>46</v>
      </c>
      <c r="C250" t="s">
        <v>24</v>
      </c>
      <c r="D250" t="s">
        <v>31</v>
      </c>
      <c r="E250" t="s">
        <v>387</v>
      </c>
      <c r="F250" t="s">
        <v>386</v>
      </c>
    </row>
    <row r="251" spans="1:10" x14ac:dyDescent="0.3">
      <c r="A251" t="s">
        <v>19</v>
      </c>
      <c r="B251" t="s">
        <v>50</v>
      </c>
      <c r="C251" t="s">
        <v>24</v>
      </c>
      <c r="D251" t="s">
        <v>40</v>
      </c>
      <c r="E251" t="s">
        <v>387</v>
      </c>
      <c r="F251" t="s">
        <v>384</v>
      </c>
      <c r="G251">
        <v>131090.13</v>
      </c>
      <c r="H251">
        <v>655450.67000000004</v>
      </c>
    </row>
    <row r="252" spans="1:10" x14ac:dyDescent="0.3">
      <c r="A252" t="s">
        <v>19</v>
      </c>
      <c r="B252" t="s">
        <v>50</v>
      </c>
      <c r="C252" t="s">
        <v>24</v>
      </c>
      <c r="D252" t="s">
        <v>40</v>
      </c>
      <c r="E252" t="s">
        <v>387</v>
      </c>
      <c r="F252" t="s">
        <v>385</v>
      </c>
      <c r="G252">
        <v>131090.13</v>
      </c>
      <c r="H252">
        <v>655450.67000000004</v>
      </c>
    </row>
    <row r="253" spans="1:10" x14ac:dyDescent="0.3">
      <c r="A253" t="s">
        <v>19</v>
      </c>
      <c r="B253" t="s">
        <v>50</v>
      </c>
      <c r="C253" t="s">
        <v>24</v>
      </c>
      <c r="D253" t="s">
        <v>40</v>
      </c>
      <c r="E253" t="s">
        <v>387</v>
      </c>
      <c r="F253" t="s">
        <v>386</v>
      </c>
    </row>
    <row r="254" spans="1:10" x14ac:dyDescent="0.3">
      <c r="A254" t="s">
        <v>19</v>
      </c>
      <c r="B254" t="s">
        <v>53</v>
      </c>
      <c r="C254" t="s">
        <v>24</v>
      </c>
      <c r="D254" t="s">
        <v>40</v>
      </c>
      <c r="E254" t="s">
        <v>387</v>
      </c>
      <c r="F254" t="s">
        <v>384</v>
      </c>
      <c r="I254">
        <v>561814.86</v>
      </c>
      <c r="J254">
        <v>224725.94</v>
      </c>
    </row>
    <row r="255" spans="1:10" x14ac:dyDescent="0.3">
      <c r="A255" t="s">
        <v>19</v>
      </c>
      <c r="B255" t="s">
        <v>53</v>
      </c>
      <c r="C255" t="s">
        <v>24</v>
      </c>
      <c r="D255" t="s">
        <v>40</v>
      </c>
      <c r="E255" t="s">
        <v>387</v>
      </c>
      <c r="F255" t="s">
        <v>385</v>
      </c>
      <c r="I255">
        <v>561814.86</v>
      </c>
      <c r="J255">
        <v>224725.94</v>
      </c>
    </row>
    <row r="256" spans="1:10" x14ac:dyDescent="0.3">
      <c r="A256" t="s">
        <v>19</v>
      </c>
      <c r="B256" t="s">
        <v>53</v>
      </c>
      <c r="C256" t="s">
        <v>24</v>
      </c>
      <c r="D256" t="s">
        <v>40</v>
      </c>
      <c r="E256" t="s">
        <v>387</v>
      </c>
      <c r="F256" t="s">
        <v>386</v>
      </c>
    </row>
    <row r="257" spans="1:11" x14ac:dyDescent="0.3">
      <c r="A257" t="s">
        <v>19</v>
      </c>
      <c r="B257" t="s">
        <v>55</v>
      </c>
      <c r="C257" t="s">
        <v>24</v>
      </c>
      <c r="D257" t="s">
        <v>40</v>
      </c>
      <c r="E257" t="s">
        <v>387</v>
      </c>
      <c r="F257" t="s">
        <v>384</v>
      </c>
      <c r="J257">
        <v>327725.33</v>
      </c>
      <c r="K257">
        <v>458815.47</v>
      </c>
    </row>
    <row r="258" spans="1:11" x14ac:dyDescent="0.3">
      <c r="A258" t="s">
        <v>19</v>
      </c>
      <c r="B258" t="s">
        <v>55</v>
      </c>
      <c r="C258" t="s">
        <v>24</v>
      </c>
      <c r="D258" t="s">
        <v>40</v>
      </c>
      <c r="E258" t="s">
        <v>387</v>
      </c>
      <c r="F258" t="s">
        <v>385</v>
      </c>
      <c r="J258">
        <v>327725.33</v>
      </c>
      <c r="K258">
        <v>458815.47</v>
      </c>
    </row>
    <row r="259" spans="1:11" x14ac:dyDescent="0.3">
      <c r="A259" t="s">
        <v>19</v>
      </c>
      <c r="B259" t="s">
        <v>55</v>
      </c>
      <c r="C259" t="s">
        <v>24</v>
      </c>
      <c r="D259" t="s">
        <v>40</v>
      </c>
      <c r="E259" t="s">
        <v>387</v>
      </c>
      <c r="F259" t="s">
        <v>386</v>
      </c>
    </row>
    <row r="260" spans="1:11" x14ac:dyDescent="0.3">
      <c r="A260" t="s">
        <v>19</v>
      </c>
      <c r="B260" t="s">
        <v>58</v>
      </c>
      <c r="C260" t="s">
        <v>24</v>
      </c>
      <c r="D260" t="s">
        <v>61</v>
      </c>
      <c r="E260" t="s">
        <v>387</v>
      </c>
      <c r="F260" t="s">
        <v>384</v>
      </c>
      <c r="H260">
        <v>314616.32000000001</v>
      </c>
      <c r="I260">
        <v>471924.47999999998</v>
      </c>
    </row>
    <row r="261" spans="1:11" x14ac:dyDescent="0.3">
      <c r="A261" t="s">
        <v>19</v>
      </c>
      <c r="B261" t="s">
        <v>58</v>
      </c>
      <c r="C261" t="s">
        <v>24</v>
      </c>
      <c r="D261" t="s">
        <v>61</v>
      </c>
      <c r="E261" t="s">
        <v>387</v>
      </c>
      <c r="F261" t="s">
        <v>385</v>
      </c>
      <c r="H261">
        <v>314616.32000000001</v>
      </c>
      <c r="I261">
        <v>471924.47999999998</v>
      </c>
    </row>
    <row r="262" spans="1:11" x14ac:dyDescent="0.3">
      <c r="A262" t="s">
        <v>19</v>
      </c>
      <c r="B262" t="s">
        <v>58</v>
      </c>
      <c r="C262" t="s">
        <v>24</v>
      </c>
      <c r="D262" t="s">
        <v>61</v>
      </c>
      <c r="E262" t="s">
        <v>387</v>
      </c>
      <c r="F262" t="s">
        <v>386</v>
      </c>
    </row>
    <row r="263" spans="1:11" x14ac:dyDescent="0.3">
      <c r="A263" t="s">
        <v>19</v>
      </c>
      <c r="B263" t="s">
        <v>62</v>
      </c>
      <c r="C263" t="s">
        <v>24</v>
      </c>
      <c r="D263" t="s">
        <v>64</v>
      </c>
      <c r="E263" t="s">
        <v>387</v>
      </c>
      <c r="F263" t="s">
        <v>384</v>
      </c>
      <c r="H263">
        <v>314616.32000000001</v>
      </c>
      <c r="I263">
        <v>471924.47999999998</v>
      </c>
    </row>
    <row r="264" spans="1:11" x14ac:dyDescent="0.3">
      <c r="A264" t="s">
        <v>19</v>
      </c>
      <c r="B264" t="s">
        <v>62</v>
      </c>
      <c r="C264" t="s">
        <v>24</v>
      </c>
      <c r="D264" t="s">
        <v>64</v>
      </c>
      <c r="E264" t="s">
        <v>387</v>
      </c>
      <c r="F264" t="s">
        <v>385</v>
      </c>
      <c r="H264">
        <v>314616.32000000001</v>
      </c>
      <c r="I264">
        <v>471924.47999999998</v>
      </c>
    </row>
    <row r="265" spans="1:11" x14ac:dyDescent="0.3">
      <c r="A265" t="s">
        <v>19</v>
      </c>
      <c r="B265" t="s">
        <v>62</v>
      </c>
      <c r="C265" t="s">
        <v>24</v>
      </c>
      <c r="D265" t="s">
        <v>64</v>
      </c>
      <c r="E265" t="s">
        <v>387</v>
      </c>
      <c r="F265" t="s">
        <v>386</v>
      </c>
    </row>
    <row r="266" spans="1:11" x14ac:dyDescent="0.3">
      <c r="A266" t="s">
        <v>19</v>
      </c>
      <c r="B266" t="s">
        <v>65</v>
      </c>
      <c r="C266" t="s">
        <v>24</v>
      </c>
      <c r="D266" t="s">
        <v>40</v>
      </c>
      <c r="E266" t="s">
        <v>387</v>
      </c>
      <c r="F266" t="s">
        <v>384</v>
      </c>
      <c r="G266">
        <v>157308.16</v>
      </c>
      <c r="H266">
        <v>629232.64000000001</v>
      </c>
    </row>
    <row r="267" spans="1:11" x14ac:dyDescent="0.3">
      <c r="A267" t="s">
        <v>19</v>
      </c>
      <c r="B267" t="s">
        <v>65</v>
      </c>
      <c r="C267" t="s">
        <v>24</v>
      </c>
      <c r="D267" t="s">
        <v>40</v>
      </c>
      <c r="E267" t="s">
        <v>387</v>
      </c>
      <c r="F267" t="s">
        <v>385</v>
      </c>
      <c r="G267">
        <v>157308.16</v>
      </c>
      <c r="H267">
        <v>629232.64000000001</v>
      </c>
    </row>
    <row r="268" spans="1:11" x14ac:dyDescent="0.3">
      <c r="A268" t="s">
        <v>19</v>
      </c>
      <c r="B268" t="s">
        <v>65</v>
      </c>
      <c r="C268" t="s">
        <v>24</v>
      </c>
      <c r="D268" t="s">
        <v>40</v>
      </c>
      <c r="E268" t="s">
        <v>387</v>
      </c>
      <c r="F268" t="s">
        <v>386</v>
      </c>
    </row>
    <row r="269" spans="1:11" x14ac:dyDescent="0.3">
      <c r="A269" t="s">
        <v>19</v>
      </c>
      <c r="B269" t="s">
        <v>68</v>
      </c>
      <c r="C269" t="s">
        <v>24</v>
      </c>
      <c r="D269" t="s">
        <v>45</v>
      </c>
      <c r="E269" t="s">
        <v>387</v>
      </c>
      <c r="F269" t="s">
        <v>384</v>
      </c>
      <c r="H269">
        <v>674177.83</v>
      </c>
      <c r="I269">
        <v>112362.97</v>
      </c>
    </row>
    <row r="270" spans="1:11" x14ac:dyDescent="0.3">
      <c r="A270" t="s">
        <v>19</v>
      </c>
      <c r="B270" t="s">
        <v>68</v>
      </c>
      <c r="C270" t="s">
        <v>24</v>
      </c>
      <c r="D270" t="s">
        <v>45</v>
      </c>
      <c r="E270" t="s">
        <v>387</v>
      </c>
      <c r="F270" t="s">
        <v>385</v>
      </c>
      <c r="H270">
        <v>674177.83</v>
      </c>
      <c r="I270">
        <v>112362.97</v>
      </c>
    </row>
    <row r="271" spans="1:11" x14ac:dyDescent="0.3">
      <c r="A271" t="s">
        <v>19</v>
      </c>
      <c r="B271" t="s">
        <v>68</v>
      </c>
      <c r="C271" t="s">
        <v>24</v>
      </c>
      <c r="D271" t="s">
        <v>45</v>
      </c>
      <c r="E271" t="s">
        <v>387</v>
      </c>
      <c r="F271" t="s">
        <v>386</v>
      </c>
    </row>
    <row r="272" spans="1:11" x14ac:dyDescent="0.3">
      <c r="A272" t="s">
        <v>19</v>
      </c>
      <c r="B272" t="s">
        <v>71</v>
      </c>
      <c r="C272" t="s">
        <v>24</v>
      </c>
      <c r="D272" t="s">
        <v>31</v>
      </c>
      <c r="E272" t="s">
        <v>387</v>
      </c>
      <c r="F272" t="s">
        <v>384</v>
      </c>
      <c r="I272">
        <v>491588</v>
      </c>
      <c r="J272">
        <v>294952.8</v>
      </c>
    </row>
    <row r="273" spans="1:13" x14ac:dyDescent="0.3">
      <c r="A273" t="s">
        <v>19</v>
      </c>
      <c r="B273" t="s">
        <v>71</v>
      </c>
      <c r="C273" t="s">
        <v>24</v>
      </c>
      <c r="D273" t="s">
        <v>31</v>
      </c>
      <c r="E273" t="s">
        <v>387</v>
      </c>
      <c r="F273" t="s">
        <v>385</v>
      </c>
      <c r="I273">
        <v>491588</v>
      </c>
      <c r="J273">
        <v>294952.8</v>
      </c>
    </row>
    <row r="274" spans="1:13" x14ac:dyDescent="0.3">
      <c r="A274" t="s">
        <v>19</v>
      </c>
      <c r="B274" t="s">
        <v>71</v>
      </c>
      <c r="C274" t="s">
        <v>24</v>
      </c>
      <c r="D274" t="s">
        <v>31</v>
      </c>
      <c r="E274" t="s">
        <v>387</v>
      </c>
      <c r="F274" t="s">
        <v>386</v>
      </c>
    </row>
    <row r="275" spans="1:13" x14ac:dyDescent="0.3">
      <c r="A275" t="s">
        <v>19</v>
      </c>
      <c r="B275" t="s">
        <v>74</v>
      </c>
      <c r="C275" t="s">
        <v>24</v>
      </c>
      <c r="D275" t="s">
        <v>40</v>
      </c>
      <c r="E275" t="s">
        <v>387</v>
      </c>
      <c r="F275" t="s">
        <v>384</v>
      </c>
      <c r="H275">
        <v>262180.27</v>
      </c>
      <c r="I275">
        <v>524360.53</v>
      </c>
    </row>
    <row r="276" spans="1:13" x14ac:dyDescent="0.3">
      <c r="A276" t="s">
        <v>19</v>
      </c>
      <c r="B276" t="s">
        <v>74</v>
      </c>
      <c r="C276" t="s">
        <v>24</v>
      </c>
      <c r="D276" t="s">
        <v>40</v>
      </c>
      <c r="E276" t="s">
        <v>387</v>
      </c>
      <c r="F276" t="s">
        <v>385</v>
      </c>
      <c r="H276">
        <v>262180.27</v>
      </c>
      <c r="I276">
        <v>524360.53</v>
      </c>
    </row>
    <row r="277" spans="1:13" x14ac:dyDescent="0.3">
      <c r="A277" t="s">
        <v>19</v>
      </c>
      <c r="B277" t="s">
        <v>74</v>
      </c>
      <c r="C277" t="s">
        <v>24</v>
      </c>
      <c r="D277" t="s">
        <v>40</v>
      </c>
      <c r="E277" t="s">
        <v>387</v>
      </c>
      <c r="F277" t="s">
        <v>386</v>
      </c>
    </row>
    <row r="278" spans="1:13" x14ac:dyDescent="0.3">
      <c r="A278" t="s">
        <v>19</v>
      </c>
      <c r="B278" t="s">
        <v>76</v>
      </c>
      <c r="C278" t="s">
        <v>24</v>
      </c>
      <c r="D278" t="s">
        <v>40</v>
      </c>
      <c r="E278" t="s">
        <v>387</v>
      </c>
      <c r="F278" t="s">
        <v>384</v>
      </c>
      <c r="J278">
        <v>449451.89</v>
      </c>
      <c r="K278">
        <v>337088.91</v>
      </c>
    </row>
    <row r="279" spans="1:13" x14ac:dyDescent="0.3">
      <c r="A279" t="s">
        <v>19</v>
      </c>
      <c r="B279" t="s">
        <v>76</v>
      </c>
      <c r="C279" t="s">
        <v>24</v>
      </c>
      <c r="D279" t="s">
        <v>40</v>
      </c>
      <c r="E279" t="s">
        <v>387</v>
      </c>
      <c r="F279" t="s">
        <v>385</v>
      </c>
      <c r="J279">
        <v>449451.89</v>
      </c>
      <c r="K279">
        <v>337088.91</v>
      </c>
    </row>
    <row r="280" spans="1:13" x14ac:dyDescent="0.3">
      <c r="A280" t="s">
        <v>19</v>
      </c>
      <c r="B280" t="s">
        <v>76</v>
      </c>
      <c r="C280" t="s">
        <v>24</v>
      </c>
      <c r="D280" t="s">
        <v>40</v>
      </c>
      <c r="E280" t="s">
        <v>387</v>
      </c>
      <c r="F280" t="s">
        <v>386</v>
      </c>
    </row>
    <row r="281" spans="1:13" x14ac:dyDescent="0.3">
      <c r="A281" t="s">
        <v>19</v>
      </c>
      <c r="B281" t="s">
        <v>78</v>
      </c>
      <c r="C281" t="s">
        <v>24</v>
      </c>
      <c r="D281" t="s">
        <v>40</v>
      </c>
      <c r="E281" t="s">
        <v>387</v>
      </c>
      <c r="F281" t="s">
        <v>384</v>
      </c>
      <c r="K281">
        <v>262180.27</v>
      </c>
      <c r="L281">
        <v>458815.47</v>
      </c>
      <c r="M281">
        <v>65545.070000000007</v>
      </c>
    </row>
    <row r="282" spans="1:13" x14ac:dyDescent="0.3">
      <c r="A282" t="s">
        <v>19</v>
      </c>
      <c r="B282" t="s">
        <v>78</v>
      </c>
      <c r="C282" t="s">
        <v>24</v>
      </c>
      <c r="D282" t="s">
        <v>40</v>
      </c>
      <c r="E282" t="s">
        <v>387</v>
      </c>
      <c r="F282" t="s">
        <v>385</v>
      </c>
      <c r="K282">
        <v>262180.27</v>
      </c>
      <c r="L282">
        <v>458815.47</v>
      </c>
      <c r="M282">
        <v>65545.070000000007</v>
      </c>
    </row>
    <row r="283" spans="1:13" x14ac:dyDescent="0.3">
      <c r="A283" t="s">
        <v>19</v>
      </c>
      <c r="B283" t="s">
        <v>78</v>
      </c>
      <c r="C283" t="s">
        <v>24</v>
      </c>
      <c r="D283" t="s">
        <v>40</v>
      </c>
      <c r="E283" t="s">
        <v>387</v>
      </c>
      <c r="F283" t="s">
        <v>386</v>
      </c>
    </row>
    <row r="284" spans="1:13" x14ac:dyDescent="0.3">
      <c r="A284" t="s">
        <v>19</v>
      </c>
      <c r="B284" t="s">
        <v>80</v>
      </c>
      <c r="C284" t="s">
        <v>24</v>
      </c>
      <c r="D284" t="s">
        <v>61</v>
      </c>
      <c r="E284" t="s">
        <v>387</v>
      </c>
      <c r="F284" t="s">
        <v>384</v>
      </c>
      <c r="I284">
        <v>471924.47999999998</v>
      </c>
      <c r="J284">
        <v>314616.32000000001</v>
      </c>
    </row>
    <row r="285" spans="1:13" x14ac:dyDescent="0.3">
      <c r="A285" t="s">
        <v>19</v>
      </c>
      <c r="B285" t="s">
        <v>80</v>
      </c>
      <c r="C285" t="s">
        <v>24</v>
      </c>
      <c r="D285" t="s">
        <v>61</v>
      </c>
      <c r="E285" t="s">
        <v>387</v>
      </c>
      <c r="F285" t="s">
        <v>385</v>
      </c>
      <c r="I285">
        <v>471924.47999999998</v>
      </c>
      <c r="J285">
        <v>314616.32000000001</v>
      </c>
    </row>
    <row r="286" spans="1:13" x14ac:dyDescent="0.3">
      <c r="A286" t="s">
        <v>19</v>
      </c>
      <c r="B286" t="s">
        <v>80</v>
      </c>
      <c r="C286" t="s">
        <v>24</v>
      </c>
      <c r="D286" t="s">
        <v>61</v>
      </c>
      <c r="E286" t="s">
        <v>387</v>
      </c>
      <c r="F286" t="s">
        <v>386</v>
      </c>
    </row>
    <row r="287" spans="1:13" x14ac:dyDescent="0.3">
      <c r="A287" t="s">
        <v>19</v>
      </c>
      <c r="B287" t="s">
        <v>83</v>
      </c>
      <c r="C287" t="s">
        <v>24</v>
      </c>
      <c r="D287" t="s">
        <v>64</v>
      </c>
      <c r="E287" t="s">
        <v>387</v>
      </c>
      <c r="F287" t="s">
        <v>384</v>
      </c>
      <c r="I287">
        <v>471924.47999999998</v>
      </c>
      <c r="J287">
        <v>314616.32000000001</v>
      </c>
    </row>
    <row r="288" spans="1:13" x14ac:dyDescent="0.3">
      <c r="A288" t="s">
        <v>19</v>
      </c>
      <c r="B288" t="s">
        <v>83</v>
      </c>
      <c r="C288" t="s">
        <v>24</v>
      </c>
      <c r="D288" t="s">
        <v>64</v>
      </c>
      <c r="E288" t="s">
        <v>387</v>
      </c>
      <c r="F288" t="s">
        <v>385</v>
      </c>
      <c r="I288">
        <v>471924.47999999998</v>
      </c>
      <c r="J288">
        <v>314616.32000000001</v>
      </c>
    </row>
    <row r="289" spans="1:12" x14ac:dyDescent="0.3">
      <c r="A289" t="s">
        <v>19</v>
      </c>
      <c r="B289" t="s">
        <v>83</v>
      </c>
      <c r="C289" t="s">
        <v>24</v>
      </c>
      <c r="D289" t="s">
        <v>64</v>
      </c>
      <c r="E289" t="s">
        <v>387</v>
      </c>
      <c r="F289" t="s">
        <v>386</v>
      </c>
    </row>
    <row r="290" spans="1:12" x14ac:dyDescent="0.3">
      <c r="A290" t="s">
        <v>19</v>
      </c>
      <c r="B290" t="s">
        <v>85</v>
      </c>
      <c r="C290" t="s">
        <v>24</v>
      </c>
      <c r="D290" t="s">
        <v>40</v>
      </c>
      <c r="E290" t="s">
        <v>387</v>
      </c>
      <c r="F290" t="s">
        <v>384</v>
      </c>
      <c r="H290">
        <v>471924.47999999998</v>
      </c>
      <c r="I290">
        <v>314616.32000000001</v>
      </c>
    </row>
    <row r="291" spans="1:12" x14ac:dyDescent="0.3">
      <c r="A291" t="s">
        <v>19</v>
      </c>
      <c r="B291" t="s">
        <v>85</v>
      </c>
      <c r="C291" t="s">
        <v>24</v>
      </c>
      <c r="D291" t="s">
        <v>40</v>
      </c>
      <c r="E291" t="s">
        <v>387</v>
      </c>
      <c r="F291" t="s">
        <v>385</v>
      </c>
      <c r="H291">
        <v>471924.47999999998</v>
      </c>
      <c r="I291">
        <v>314616.32000000001</v>
      </c>
    </row>
    <row r="292" spans="1:12" x14ac:dyDescent="0.3">
      <c r="A292" t="s">
        <v>19</v>
      </c>
      <c r="B292" t="s">
        <v>85</v>
      </c>
      <c r="C292" t="s">
        <v>24</v>
      </c>
      <c r="D292" t="s">
        <v>40</v>
      </c>
      <c r="E292" t="s">
        <v>387</v>
      </c>
      <c r="F292" t="s">
        <v>386</v>
      </c>
    </row>
    <row r="293" spans="1:12" x14ac:dyDescent="0.3">
      <c r="A293" t="s">
        <v>19</v>
      </c>
      <c r="B293" t="s">
        <v>88</v>
      </c>
      <c r="C293" t="s">
        <v>24</v>
      </c>
      <c r="D293" t="s">
        <v>45</v>
      </c>
      <c r="E293" t="s">
        <v>387</v>
      </c>
      <c r="F293" t="s">
        <v>384</v>
      </c>
      <c r="I293">
        <v>674177.83</v>
      </c>
      <c r="J293">
        <v>112362.97</v>
      </c>
    </row>
    <row r="294" spans="1:12" x14ac:dyDescent="0.3">
      <c r="A294" t="s">
        <v>19</v>
      </c>
      <c r="B294" t="s">
        <v>88</v>
      </c>
      <c r="C294" t="s">
        <v>24</v>
      </c>
      <c r="D294" t="s">
        <v>45</v>
      </c>
      <c r="E294" t="s">
        <v>387</v>
      </c>
      <c r="F294" t="s">
        <v>385</v>
      </c>
      <c r="I294">
        <v>674177.83</v>
      </c>
      <c r="J294">
        <v>112362.97</v>
      </c>
    </row>
    <row r="295" spans="1:12" x14ac:dyDescent="0.3">
      <c r="A295" t="s">
        <v>19</v>
      </c>
      <c r="B295" t="s">
        <v>88</v>
      </c>
      <c r="C295" t="s">
        <v>24</v>
      </c>
      <c r="D295" t="s">
        <v>45</v>
      </c>
      <c r="E295" t="s">
        <v>387</v>
      </c>
      <c r="F295" t="s">
        <v>386</v>
      </c>
    </row>
    <row r="296" spans="1:12" x14ac:dyDescent="0.3">
      <c r="A296" t="s">
        <v>19</v>
      </c>
      <c r="B296" t="s">
        <v>91</v>
      </c>
      <c r="C296" t="s">
        <v>24</v>
      </c>
      <c r="D296" t="s">
        <v>31</v>
      </c>
      <c r="E296" t="s">
        <v>387</v>
      </c>
      <c r="F296" t="s">
        <v>384</v>
      </c>
      <c r="J296">
        <v>393270.4</v>
      </c>
      <c r="K296">
        <v>393270.4</v>
      </c>
    </row>
    <row r="297" spans="1:12" x14ac:dyDescent="0.3">
      <c r="A297" t="s">
        <v>19</v>
      </c>
      <c r="B297" t="s">
        <v>91</v>
      </c>
      <c r="C297" t="s">
        <v>24</v>
      </c>
      <c r="D297" t="s">
        <v>31</v>
      </c>
      <c r="E297" t="s">
        <v>387</v>
      </c>
      <c r="F297" t="s">
        <v>385</v>
      </c>
      <c r="J297">
        <v>393270.4</v>
      </c>
      <c r="K297">
        <v>393270.4</v>
      </c>
    </row>
    <row r="298" spans="1:12" x14ac:dyDescent="0.3">
      <c r="A298" t="s">
        <v>19</v>
      </c>
      <c r="B298" t="s">
        <v>91</v>
      </c>
      <c r="C298" t="s">
        <v>24</v>
      </c>
      <c r="D298" t="s">
        <v>31</v>
      </c>
      <c r="E298" t="s">
        <v>387</v>
      </c>
      <c r="F298" t="s">
        <v>386</v>
      </c>
    </row>
    <row r="299" spans="1:12" x14ac:dyDescent="0.3">
      <c r="A299" t="s">
        <v>19</v>
      </c>
      <c r="B299" t="s">
        <v>94</v>
      </c>
      <c r="C299" t="s">
        <v>24</v>
      </c>
      <c r="D299" t="s">
        <v>40</v>
      </c>
      <c r="E299" t="s">
        <v>387</v>
      </c>
      <c r="F299" t="s">
        <v>384</v>
      </c>
      <c r="I299">
        <v>393270.4</v>
      </c>
      <c r="J299">
        <v>393270.4</v>
      </c>
    </row>
    <row r="300" spans="1:12" x14ac:dyDescent="0.3">
      <c r="A300" t="s">
        <v>19</v>
      </c>
      <c r="B300" t="s">
        <v>94</v>
      </c>
      <c r="C300" t="s">
        <v>24</v>
      </c>
      <c r="D300" t="s">
        <v>40</v>
      </c>
      <c r="E300" t="s">
        <v>387</v>
      </c>
      <c r="F300" t="s">
        <v>385</v>
      </c>
      <c r="I300">
        <v>393270.4</v>
      </c>
      <c r="J300">
        <v>393270.4</v>
      </c>
    </row>
    <row r="301" spans="1:12" x14ac:dyDescent="0.3">
      <c r="A301" t="s">
        <v>19</v>
      </c>
      <c r="B301" t="s">
        <v>94</v>
      </c>
      <c r="C301" t="s">
        <v>24</v>
      </c>
      <c r="D301" t="s">
        <v>40</v>
      </c>
      <c r="E301" t="s">
        <v>387</v>
      </c>
      <c r="F301" t="s">
        <v>386</v>
      </c>
    </row>
    <row r="302" spans="1:12" x14ac:dyDescent="0.3">
      <c r="A302" t="s">
        <v>19</v>
      </c>
      <c r="B302" t="s">
        <v>96</v>
      </c>
      <c r="C302" t="s">
        <v>24</v>
      </c>
      <c r="D302" t="s">
        <v>40</v>
      </c>
      <c r="E302" t="s">
        <v>387</v>
      </c>
      <c r="F302" t="s">
        <v>384</v>
      </c>
      <c r="K302">
        <v>337088.91</v>
      </c>
      <c r="L302">
        <v>449451.89</v>
      </c>
    </row>
    <row r="303" spans="1:12" x14ac:dyDescent="0.3">
      <c r="A303" t="s">
        <v>19</v>
      </c>
      <c r="B303" t="s">
        <v>96</v>
      </c>
      <c r="C303" t="s">
        <v>24</v>
      </c>
      <c r="D303" t="s">
        <v>40</v>
      </c>
      <c r="E303" t="s">
        <v>387</v>
      </c>
      <c r="F303" t="s">
        <v>385</v>
      </c>
      <c r="K303">
        <v>337088.91</v>
      </c>
      <c r="L303">
        <v>449451.89</v>
      </c>
    </row>
    <row r="304" spans="1:12" x14ac:dyDescent="0.3">
      <c r="A304" t="s">
        <v>19</v>
      </c>
      <c r="B304" t="s">
        <v>96</v>
      </c>
      <c r="C304" t="s">
        <v>24</v>
      </c>
      <c r="D304" t="s">
        <v>40</v>
      </c>
      <c r="E304" t="s">
        <v>387</v>
      </c>
      <c r="F304" t="s">
        <v>386</v>
      </c>
    </row>
    <row r="305" spans="1:14" x14ac:dyDescent="0.3">
      <c r="A305" t="s">
        <v>19</v>
      </c>
      <c r="B305" t="s">
        <v>98</v>
      </c>
      <c r="C305" t="s">
        <v>24</v>
      </c>
      <c r="D305" t="s">
        <v>40</v>
      </c>
      <c r="E305" t="s">
        <v>387</v>
      </c>
      <c r="F305" t="s">
        <v>384</v>
      </c>
      <c r="L305">
        <v>196635.2</v>
      </c>
      <c r="M305">
        <v>458815.47</v>
      </c>
      <c r="N305">
        <v>131090.13</v>
      </c>
    </row>
    <row r="306" spans="1:14" x14ac:dyDescent="0.3">
      <c r="A306" t="s">
        <v>19</v>
      </c>
      <c r="B306" t="s">
        <v>98</v>
      </c>
      <c r="C306" t="s">
        <v>24</v>
      </c>
      <c r="D306" t="s">
        <v>40</v>
      </c>
      <c r="E306" t="s">
        <v>387</v>
      </c>
      <c r="F306" t="s">
        <v>385</v>
      </c>
      <c r="L306">
        <v>196635.2</v>
      </c>
      <c r="M306">
        <v>458815.47</v>
      </c>
      <c r="N306">
        <v>131090.13</v>
      </c>
    </row>
    <row r="307" spans="1:14" x14ac:dyDescent="0.3">
      <c r="A307" t="s">
        <v>19</v>
      </c>
      <c r="B307" t="s">
        <v>98</v>
      </c>
      <c r="C307" t="s">
        <v>24</v>
      </c>
      <c r="D307" t="s">
        <v>40</v>
      </c>
      <c r="E307" t="s">
        <v>387</v>
      </c>
      <c r="F307" t="s">
        <v>386</v>
      </c>
    </row>
    <row r="308" spans="1:14" x14ac:dyDescent="0.3">
      <c r="A308" t="s">
        <v>19</v>
      </c>
      <c r="B308" t="s">
        <v>100</v>
      </c>
      <c r="C308" t="s">
        <v>24</v>
      </c>
      <c r="D308" t="s">
        <v>61</v>
      </c>
      <c r="E308" t="s">
        <v>387</v>
      </c>
      <c r="F308" t="s">
        <v>384</v>
      </c>
      <c r="J308">
        <v>629232.64000000001</v>
      </c>
      <c r="K308">
        <v>157308.16</v>
      </c>
    </row>
    <row r="309" spans="1:14" x14ac:dyDescent="0.3">
      <c r="A309" t="s">
        <v>19</v>
      </c>
      <c r="B309" t="s">
        <v>100</v>
      </c>
      <c r="C309" t="s">
        <v>24</v>
      </c>
      <c r="D309" t="s">
        <v>61</v>
      </c>
      <c r="E309" t="s">
        <v>387</v>
      </c>
      <c r="F309" t="s">
        <v>385</v>
      </c>
      <c r="J309">
        <v>629232.64000000001</v>
      </c>
      <c r="K309">
        <v>157308.16</v>
      </c>
    </row>
    <row r="310" spans="1:14" x14ac:dyDescent="0.3">
      <c r="A310" t="s">
        <v>19</v>
      </c>
      <c r="B310" t="s">
        <v>100</v>
      </c>
      <c r="C310" t="s">
        <v>24</v>
      </c>
      <c r="D310" t="s">
        <v>61</v>
      </c>
      <c r="E310" t="s">
        <v>387</v>
      </c>
      <c r="F310" t="s">
        <v>386</v>
      </c>
    </row>
    <row r="311" spans="1:14" x14ac:dyDescent="0.3">
      <c r="A311" t="s">
        <v>19</v>
      </c>
      <c r="B311" t="s">
        <v>103</v>
      </c>
      <c r="C311" t="s">
        <v>24</v>
      </c>
      <c r="D311" t="s">
        <v>64</v>
      </c>
      <c r="E311" t="s">
        <v>387</v>
      </c>
      <c r="F311" t="s">
        <v>384</v>
      </c>
      <c r="J311">
        <v>629232.64000000001</v>
      </c>
      <c r="K311">
        <v>157308.16</v>
      </c>
    </row>
    <row r="312" spans="1:14" x14ac:dyDescent="0.3">
      <c r="A312" t="s">
        <v>19</v>
      </c>
      <c r="B312" t="s">
        <v>103</v>
      </c>
      <c r="C312" t="s">
        <v>24</v>
      </c>
      <c r="D312" t="s">
        <v>64</v>
      </c>
      <c r="E312" t="s">
        <v>387</v>
      </c>
      <c r="F312" t="s">
        <v>385</v>
      </c>
      <c r="J312">
        <v>629232.64000000001</v>
      </c>
      <c r="K312">
        <v>157308.16</v>
      </c>
    </row>
    <row r="313" spans="1:14" x14ac:dyDescent="0.3">
      <c r="A313" t="s">
        <v>19</v>
      </c>
      <c r="B313" t="s">
        <v>103</v>
      </c>
      <c r="C313" t="s">
        <v>24</v>
      </c>
      <c r="D313" t="s">
        <v>64</v>
      </c>
      <c r="E313" t="s">
        <v>387</v>
      </c>
      <c r="F313" t="s">
        <v>386</v>
      </c>
    </row>
    <row r="314" spans="1:14" x14ac:dyDescent="0.3">
      <c r="A314" t="s">
        <v>19</v>
      </c>
      <c r="B314" t="s">
        <v>105</v>
      </c>
      <c r="C314" t="s">
        <v>24</v>
      </c>
      <c r="D314" t="s">
        <v>40</v>
      </c>
      <c r="E314" t="s">
        <v>387</v>
      </c>
      <c r="F314" t="s">
        <v>384</v>
      </c>
      <c r="I314">
        <v>786540.8</v>
      </c>
    </row>
    <row r="315" spans="1:14" x14ac:dyDescent="0.3">
      <c r="A315" t="s">
        <v>19</v>
      </c>
      <c r="B315" t="s">
        <v>105</v>
      </c>
      <c r="C315" t="s">
        <v>24</v>
      </c>
      <c r="D315" t="s">
        <v>40</v>
      </c>
      <c r="E315" t="s">
        <v>387</v>
      </c>
      <c r="F315" t="s">
        <v>385</v>
      </c>
      <c r="I315">
        <v>786540.8</v>
      </c>
    </row>
    <row r="316" spans="1:14" x14ac:dyDescent="0.3">
      <c r="A316" t="s">
        <v>19</v>
      </c>
      <c r="B316" t="s">
        <v>105</v>
      </c>
      <c r="C316" t="s">
        <v>24</v>
      </c>
      <c r="D316" t="s">
        <v>40</v>
      </c>
      <c r="E316" t="s">
        <v>387</v>
      </c>
      <c r="F316" t="s">
        <v>386</v>
      </c>
    </row>
    <row r="317" spans="1:14" x14ac:dyDescent="0.3">
      <c r="A317" t="s">
        <v>19</v>
      </c>
      <c r="B317" t="s">
        <v>108</v>
      </c>
      <c r="C317" t="s">
        <v>24</v>
      </c>
      <c r="D317" t="s">
        <v>45</v>
      </c>
      <c r="E317" t="s">
        <v>387</v>
      </c>
      <c r="F317" t="s">
        <v>384</v>
      </c>
      <c r="J317">
        <v>674177.83</v>
      </c>
      <c r="K317">
        <v>112362.97</v>
      </c>
    </row>
    <row r="318" spans="1:14" x14ac:dyDescent="0.3">
      <c r="A318" t="s">
        <v>19</v>
      </c>
      <c r="B318" t="s">
        <v>108</v>
      </c>
      <c r="C318" t="s">
        <v>24</v>
      </c>
      <c r="D318" t="s">
        <v>45</v>
      </c>
      <c r="E318" t="s">
        <v>387</v>
      </c>
      <c r="F318" t="s">
        <v>385</v>
      </c>
      <c r="J318">
        <v>674177.83</v>
      </c>
      <c r="K318">
        <v>112362.97</v>
      </c>
    </row>
    <row r="319" spans="1:14" x14ac:dyDescent="0.3">
      <c r="A319" t="s">
        <v>19</v>
      </c>
      <c r="B319" t="s">
        <v>108</v>
      </c>
      <c r="C319" t="s">
        <v>24</v>
      </c>
      <c r="D319" t="s">
        <v>45</v>
      </c>
      <c r="E319" t="s">
        <v>387</v>
      </c>
      <c r="F319" t="s">
        <v>386</v>
      </c>
    </row>
    <row r="320" spans="1:14" x14ac:dyDescent="0.3">
      <c r="A320" t="s">
        <v>19</v>
      </c>
      <c r="B320" t="s">
        <v>111</v>
      </c>
      <c r="C320" t="s">
        <v>24</v>
      </c>
      <c r="D320" t="s">
        <v>31</v>
      </c>
      <c r="E320" t="s">
        <v>387</v>
      </c>
      <c r="F320" t="s">
        <v>384</v>
      </c>
      <c r="K320">
        <v>294952.8</v>
      </c>
      <c r="L320">
        <v>491588</v>
      </c>
    </row>
    <row r="321" spans="1:15" x14ac:dyDescent="0.3">
      <c r="A321" t="s">
        <v>19</v>
      </c>
      <c r="B321" t="s">
        <v>111</v>
      </c>
      <c r="C321" t="s">
        <v>24</v>
      </c>
      <c r="D321" t="s">
        <v>31</v>
      </c>
      <c r="E321" t="s">
        <v>387</v>
      </c>
      <c r="F321" t="s">
        <v>385</v>
      </c>
      <c r="K321">
        <v>294952.8</v>
      </c>
      <c r="L321">
        <v>491588</v>
      </c>
    </row>
    <row r="322" spans="1:15" x14ac:dyDescent="0.3">
      <c r="A322" t="s">
        <v>19</v>
      </c>
      <c r="B322" t="s">
        <v>111</v>
      </c>
      <c r="C322" t="s">
        <v>24</v>
      </c>
      <c r="D322" t="s">
        <v>31</v>
      </c>
      <c r="E322" t="s">
        <v>387</v>
      </c>
      <c r="F322" t="s">
        <v>386</v>
      </c>
    </row>
    <row r="323" spans="1:15" x14ac:dyDescent="0.3">
      <c r="A323" t="s">
        <v>19</v>
      </c>
      <c r="B323" t="s">
        <v>114</v>
      </c>
      <c r="C323" t="s">
        <v>24</v>
      </c>
      <c r="D323" t="s">
        <v>40</v>
      </c>
      <c r="E323" t="s">
        <v>387</v>
      </c>
      <c r="F323" t="s">
        <v>384</v>
      </c>
      <c r="J323">
        <v>524360.53</v>
      </c>
      <c r="K323">
        <v>262180.27</v>
      </c>
    </row>
    <row r="324" spans="1:15" x14ac:dyDescent="0.3">
      <c r="A324" t="s">
        <v>19</v>
      </c>
      <c r="B324" t="s">
        <v>114</v>
      </c>
      <c r="C324" t="s">
        <v>24</v>
      </c>
      <c r="D324" t="s">
        <v>40</v>
      </c>
      <c r="E324" t="s">
        <v>387</v>
      </c>
      <c r="F324" t="s">
        <v>385</v>
      </c>
      <c r="J324">
        <v>524360.53</v>
      </c>
      <c r="K324">
        <v>262180.27</v>
      </c>
    </row>
    <row r="325" spans="1:15" x14ac:dyDescent="0.3">
      <c r="A325" t="s">
        <v>19</v>
      </c>
      <c r="B325" t="s">
        <v>114</v>
      </c>
      <c r="C325" t="s">
        <v>24</v>
      </c>
      <c r="D325" t="s">
        <v>40</v>
      </c>
      <c r="E325" t="s">
        <v>387</v>
      </c>
      <c r="F325" t="s">
        <v>386</v>
      </c>
    </row>
    <row r="326" spans="1:15" x14ac:dyDescent="0.3">
      <c r="A326" t="s">
        <v>19</v>
      </c>
      <c r="B326" t="s">
        <v>116</v>
      </c>
      <c r="C326" t="s">
        <v>24</v>
      </c>
      <c r="D326" t="s">
        <v>40</v>
      </c>
      <c r="E326" t="s">
        <v>387</v>
      </c>
      <c r="F326" t="s">
        <v>384</v>
      </c>
      <c r="L326">
        <v>224725.94</v>
      </c>
      <c r="M326">
        <v>561814.86</v>
      </c>
    </row>
    <row r="327" spans="1:15" x14ac:dyDescent="0.3">
      <c r="A327" t="s">
        <v>19</v>
      </c>
      <c r="B327" t="s">
        <v>116</v>
      </c>
      <c r="C327" t="s">
        <v>24</v>
      </c>
      <c r="D327" t="s">
        <v>40</v>
      </c>
      <c r="E327" t="s">
        <v>387</v>
      </c>
      <c r="F327" t="s">
        <v>385</v>
      </c>
      <c r="L327">
        <v>224725.94</v>
      </c>
      <c r="M327">
        <v>561814.86</v>
      </c>
    </row>
    <row r="328" spans="1:15" x14ac:dyDescent="0.3">
      <c r="A328" t="s">
        <v>19</v>
      </c>
      <c r="B328" t="s">
        <v>116</v>
      </c>
      <c r="C328" t="s">
        <v>24</v>
      </c>
      <c r="D328" t="s">
        <v>40</v>
      </c>
      <c r="E328" t="s">
        <v>387</v>
      </c>
      <c r="F328" t="s">
        <v>386</v>
      </c>
    </row>
    <row r="329" spans="1:15" x14ac:dyDescent="0.3">
      <c r="A329" t="s">
        <v>19</v>
      </c>
      <c r="B329" t="s">
        <v>118</v>
      </c>
      <c r="C329" t="s">
        <v>24</v>
      </c>
      <c r="D329" t="s">
        <v>40</v>
      </c>
      <c r="E329" t="s">
        <v>387</v>
      </c>
      <c r="F329" t="s">
        <v>384</v>
      </c>
      <c r="M329">
        <v>131090.13</v>
      </c>
      <c r="N329">
        <v>458815.47</v>
      </c>
      <c r="O329">
        <v>196635.2</v>
      </c>
    </row>
    <row r="330" spans="1:15" x14ac:dyDescent="0.3">
      <c r="A330" t="s">
        <v>19</v>
      </c>
      <c r="B330" t="s">
        <v>118</v>
      </c>
      <c r="C330" t="s">
        <v>24</v>
      </c>
      <c r="D330" t="s">
        <v>40</v>
      </c>
      <c r="E330" t="s">
        <v>387</v>
      </c>
      <c r="F330" t="s">
        <v>385</v>
      </c>
      <c r="M330">
        <v>131090.13</v>
      </c>
      <c r="N330">
        <v>458815.47</v>
      </c>
      <c r="O330">
        <v>196635.2</v>
      </c>
    </row>
    <row r="331" spans="1:15" x14ac:dyDescent="0.3">
      <c r="A331" t="s">
        <v>19</v>
      </c>
      <c r="B331" t="s">
        <v>118</v>
      </c>
      <c r="C331" t="s">
        <v>24</v>
      </c>
      <c r="D331" t="s">
        <v>40</v>
      </c>
      <c r="E331" t="s">
        <v>387</v>
      </c>
      <c r="F331" t="s">
        <v>386</v>
      </c>
    </row>
    <row r="332" spans="1:15" x14ac:dyDescent="0.3">
      <c r="A332" t="s">
        <v>19</v>
      </c>
      <c r="B332" t="s">
        <v>120</v>
      </c>
      <c r="C332" t="s">
        <v>24</v>
      </c>
      <c r="D332" t="s">
        <v>61</v>
      </c>
      <c r="E332" t="s">
        <v>387</v>
      </c>
      <c r="F332" t="s">
        <v>384</v>
      </c>
      <c r="K332">
        <v>786540.8</v>
      </c>
    </row>
    <row r="333" spans="1:15" x14ac:dyDescent="0.3">
      <c r="A333" t="s">
        <v>19</v>
      </c>
      <c r="B333" t="s">
        <v>120</v>
      </c>
      <c r="C333" t="s">
        <v>24</v>
      </c>
      <c r="D333" t="s">
        <v>61</v>
      </c>
      <c r="E333" t="s">
        <v>387</v>
      </c>
      <c r="F333" t="s">
        <v>385</v>
      </c>
      <c r="K333">
        <v>786540.8</v>
      </c>
    </row>
    <row r="334" spans="1:15" x14ac:dyDescent="0.3">
      <c r="A334" t="s">
        <v>19</v>
      </c>
      <c r="B334" t="s">
        <v>120</v>
      </c>
      <c r="C334" t="s">
        <v>24</v>
      </c>
      <c r="D334" t="s">
        <v>61</v>
      </c>
      <c r="E334" t="s">
        <v>387</v>
      </c>
      <c r="F334" t="s">
        <v>386</v>
      </c>
    </row>
    <row r="335" spans="1:15" x14ac:dyDescent="0.3">
      <c r="A335" t="s">
        <v>19</v>
      </c>
      <c r="B335" t="s">
        <v>123</v>
      </c>
      <c r="C335" t="s">
        <v>24</v>
      </c>
      <c r="D335" t="s">
        <v>64</v>
      </c>
      <c r="E335" t="s">
        <v>387</v>
      </c>
      <c r="F335" t="s">
        <v>384</v>
      </c>
      <c r="K335">
        <v>786540.8</v>
      </c>
    </row>
    <row r="336" spans="1:15" x14ac:dyDescent="0.3">
      <c r="A336" t="s">
        <v>19</v>
      </c>
      <c r="B336" t="s">
        <v>123</v>
      </c>
      <c r="C336" t="s">
        <v>24</v>
      </c>
      <c r="D336" t="s">
        <v>64</v>
      </c>
      <c r="E336" t="s">
        <v>387</v>
      </c>
      <c r="F336" t="s">
        <v>385</v>
      </c>
      <c r="K336">
        <v>786540.8</v>
      </c>
    </row>
    <row r="337" spans="1:38" x14ac:dyDescent="0.3">
      <c r="A337" t="s">
        <v>19</v>
      </c>
      <c r="B337" t="s">
        <v>123</v>
      </c>
      <c r="C337" t="s">
        <v>24</v>
      </c>
      <c r="D337" t="s">
        <v>64</v>
      </c>
      <c r="E337" t="s">
        <v>387</v>
      </c>
      <c r="F337" t="s">
        <v>386</v>
      </c>
    </row>
    <row r="338" spans="1:38" x14ac:dyDescent="0.3">
      <c r="A338" t="s">
        <v>19</v>
      </c>
      <c r="B338" t="s">
        <v>125</v>
      </c>
      <c r="C338" t="s">
        <v>128</v>
      </c>
      <c r="D338" t="s">
        <v>40</v>
      </c>
      <c r="E338" t="s">
        <v>387</v>
      </c>
      <c r="F338" t="s">
        <v>384</v>
      </c>
      <c r="R338">
        <v>3042474.17</v>
      </c>
      <c r="S338">
        <v>5324329.8</v>
      </c>
      <c r="T338">
        <v>5324329.8</v>
      </c>
      <c r="U338">
        <v>3803092.72</v>
      </c>
    </row>
    <row r="339" spans="1:38" x14ac:dyDescent="0.3">
      <c r="A339" t="s">
        <v>19</v>
      </c>
      <c r="B339" t="s">
        <v>125</v>
      </c>
      <c r="C339" t="s">
        <v>128</v>
      </c>
      <c r="D339" t="s">
        <v>40</v>
      </c>
      <c r="E339" t="s">
        <v>387</v>
      </c>
      <c r="F339" t="s">
        <v>385</v>
      </c>
      <c r="R339">
        <v>999670.09</v>
      </c>
      <c r="S339">
        <v>1749422.65</v>
      </c>
      <c r="T339">
        <v>1749422.65</v>
      </c>
      <c r="U339">
        <v>1249587.6100000001</v>
      </c>
      <c r="W339">
        <v>249917.52</v>
      </c>
      <c r="X339">
        <v>1749422.65</v>
      </c>
      <c r="Y339">
        <v>1749422.65</v>
      </c>
      <c r="Z339">
        <v>1749422.65</v>
      </c>
      <c r="AA339">
        <v>1749422.65</v>
      </c>
      <c r="AB339">
        <v>1749422.65</v>
      </c>
      <c r="AC339">
        <v>1749422.65</v>
      </c>
      <c r="AD339">
        <v>999670.09</v>
      </c>
    </row>
    <row r="340" spans="1:38" x14ac:dyDescent="0.3">
      <c r="A340" t="s">
        <v>19</v>
      </c>
      <c r="B340" t="s">
        <v>125</v>
      </c>
      <c r="C340" t="s">
        <v>128</v>
      </c>
      <c r="D340" t="s">
        <v>40</v>
      </c>
      <c r="E340" t="s">
        <v>387</v>
      </c>
      <c r="F340" t="s">
        <v>386</v>
      </c>
    </row>
    <row r="341" spans="1:38" x14ac:dyDescent="0.3">
      <c r="A341" t="s">
        <v>19</v>
      </c>
      <c r="B341" t="s">
        <v>131</v>
      </c>
      <c r="C341" t="s">
        <v>128</v>
      </c>
      <c r="D341" t="s">
        <v>40</v>
      </c>
      <c r="E341" t="s">
        <v>387</v>
      </c>
      <c r="F341" t="s">
        <v>384</v>
      </c>
      <c r="X341">
        <v>85972.75</v>
      </c>
      <c r="Y341">
        <v>601809.25</v>
      </c>
      <c r="Z341">
        <v>601809.25</v>
      </c>
      <c r="AA341">
        <v>601809.25</v>
      </c>
      <c r="AB341">
        <v>601809.25</v>
      </c>
      <c r="AC341">
        <v>601809.25</v>
      </c>
      <c r="AD341">
        <v>601809.25</v>
      </c>
      <c r="AE341">
        <v>515836.5</v>
      </c>
      <c r="AG341">
        <v>85972.75</v>
      </c>
      <c r="AH341">
        <v>601809.25</v>
      </c>
      <c r="AI341">
        <v>257918.25</v>
      </c>
    </row>
    <row r="342" spans="1:38" x14ac:dyDescent="0.3">
      <c r="A342" t="s">
        <v>19</v>
      </c>
      <c r="B342" t="s">
        <v>131</v>
      </c>
      <c r="C342" t="s">
        <v>128</v>
      </c>
      <c r="D342" t="s">
        <v>40</v>
      </c>
      <c r="E342" t="s">
        <v>387</v>
      </c>
      <c r="F342" t="s">
        <v>385</v>
      </c>
      <c r="X342">
        <v>73690.929999999993</v>
      </c>
      <c r="Y342">
        <v>515836.5</v>
      </c>
      <c r="Z342">
        <v>515836.5</v>
      </c>
      <c r="AA342">
        <v>515836.5</v>
      </c>
      <c r="AB342">
        <v>515836.5</v>
      </c>
      <c r="AC342">
        <v>515836.5</v>
      </c>
      <c r="AD342">
        <v>515836.5</v>
      </c>
      <c r="AE342">
        <v>442145.57</v>
      </c>
      <c r="AG342">
        <v>73690.929999999993</v>
      </c>
      <c r="AH342">
        <v>515836.5</v>
      </c>
      <c r="AI342">
        <v>515836.5</v>
      </c>
      <c r="AJ342">
        <v>442145.57</v>
      </c>
    </row>
    <row r="343" spans="1:38" x14ac:dyDescent="0.3">
      <c r="A343" t="s">
        <v>19</v>
      </c>
      <c r="B343" t="s">
        <v>131</v>
      </c>
      <c r="C343" t="s">
        <v>128</v>
      </c>
      <c r="D343" t="s">
        <v>40</v>
      </c>
      <c r="E343" t="s">
        <v>387</v>
      </c>
      <c r="F343" t="s">
        <v>386</v>
      </c>
    </row>
    <row r="344" spans="1:38" x14ac:dyDescent="0.3">
      <c r="A344" t="s">
        <v>19</v>
      </c>
      <c r="B344" t="s">
        <v>134</v>
      </c>
      <c r="C344" t="s">
        <v>128</v>
      </c>
      <c r="D344" t="s">
        <v>45</v>
      </c>
      <c r="E344" t="s">
        <v>387</v>
      </c>
      <c r="F344" t="s">
        <v>384</v>
      </c>
      <c r="K344">
        <v>4008786.53</v>
      </c>
      <c r="L344">
        <v>4676917.6100000003</v>
      </c>
      <c r="M344">
        <v>4676917.6100000003</v>
      </c>
      <c r="N344">
        <v>4676917.6100000003</v>
      </c>
      <c r="O344">
        <v>4676917.6100000003</v>
      </c>
      <c r="P344">
        <v>4676917.6100000003</v>
      </c>
      <c r="Q344">
        <v>4676917.6100000003</v>
      </c>
      <c r="R344">
        <v>4676917.6100000003</v>
      </c>
      <c r="S344">
        <v>4676917.6100000003</v>
      </c>
      <c r="T344">
        <v>4676917.6100000003</v>
      </c>
      <c r="U344">
        <v>3340655.44</v>
      </c>
      <c r="W344">
        <v>668131.09</v>
      </c>
      <c r="X344">
        <v>4676917.6100000003</v>
      </c>
      <c r="Y344">
        <v>4676917.6100000003</v>
      </c>
      <c r="Z344">
        <v>668131.09</v>
      </c>
    </row>
    <row r="345" spans="1:38" x14ac:dyDescent="0.3">
      <c r="A345" t="s">
        <v>19</v>
      </c>
      <c r="B345" t="s">
        <v>134</v>
      </c>
      <c r="C345" t="s">
        <v>128</v>
      </c>
      <c r="D345" t="s">
        <v>45</v>
      </c>
      <c r="E345" t="s">
        <v>387</v>
      </c>
      <c r="F345" t="s">
        <v>385</v>
      </c>
      <c r="K345">
        <v>3436102.74</v>
      </c>
      <c r="L345">
        <v>4008786.53</v>
      </c>
      <c r="M345">
        <v>4008786.53</v>
      </c>
      <c r="N345">
        <v>4008786.53</v>
      </c>
      <c r="O345">
        <v>4008786.53</v>
      </c>
      <c r="P345">
        <v>4008786.53</v>
      </c>
      <c r="Q345">
        <v>4008786.53</v>
      </c>
      <c r="R345">
        <v>4008786.53</v>
      </c>
      <c r="S345">
        <v>4008786.53</v>
      </c>
      <c r="T345">
        <v>4008786.53</v>
      </c>
      <c r="U345">
        <v>2863418.95</v>
      </c>
      <c r="W345">
        <v>572683.79</v>
      </c>
      <c r="X345">
        <v>4008786.53</v>
      </c>
      <c r="Y345">
        <v>4008786.53</v>
      </c>
      <c r="Z345">
        <v>4008786.53</v>
      </c>
      <c r="AA345">
        <v>4008786.53</v>
      </c>
      <c r="AB345">
        <v>1145367.58</v>
      </c>
    </row>
    <row r="346" spans="1:38" x14ac:dyDescent="0.3">
      <c r="A346" t="s">
        <v>19</v>
      </c>
      <c r="B346" t="s">
        <v>134</v>
      </c>
      <c r="C346" t="s">
        <v>128</v>
      </c>
      <c r="D346" t="s">
        <v>45</v>
      </c>
      <c r="E346" t="s">
        <v>387</v>
      </c>
      <c r="F346" t="s">
        <v>386</v>
      </c>
    </row>
    <row r="347" spans="1:38" x14ac:dyDescent="0.3">
      <c r="A347" t="s">
        <v>19</v>
      </c>
      <c r="B347" t="s">
        <v>138</v>
      </c>
      <c r="C347" t="s">
        <v>128</v>
      </c>
      <c r="D347" t="s">
        <v>31</v>
      </c>
      <c r="E347" t="s">
        <v>387</v>
      </c>
      <c r="F347" t="s">
        <v>384</v>
      </c>
      <c r="U347">
        <v>1328841.99</v>
      </c>
      <c r="W347">
        <v>442947.33</v>
      </c>
      <c r="X347">
        <v>3100631.31</v>
      </c>
      <c r="Y347">
        <v>3100631.31</v>
      </c>
      <c r="Z347">
        <v>3100631.31</v>
      </c>
      <c r="AA347">
        <v>3100631.31</v>
      </c>
      <c r="AB347">
        <v>3100631.31</v>
      </c>
      <c r="AC347">
        <v>3100631.31</v>
      </c>
      <c r="AD347">
        <v>3100631.31</v>
      </c>
      <c r="AE347">
        <v>2657683.98</v>
      </c>
      <c r="AG347">
        <v>442947.33</v>
      </c>
      <c r="AH347">
        <v>3100631.31</v>
      </c>
      <c r="AI347">
        <v>3100631.31</v>
      </c>
      <c r="AJ347">
        <v>3100631.31</v>
      </c>
      <c r="AK347">
        <v>3100631.31</v>
      </c>
      <c r="AL347">
        <v>885894.66</v>
      </c>
    </row>
    <row r="348" spans="1:38" x14ac:dyDescent="0.3">
      <c r="A348" t="s">
        <v>19</v>
      </c>
      <c r="B348" t="s">
        <v>138</v>
      </c>
      <c r="C348" t="s">
        <v>128</v>
      </c>
      <c r="D348" t="s">
        <v>31</v>
      </c>
      <c r="E348" t="s">
        <v>387</v>
      </c>
      <c r="F348" t="s">
        <v>385</v>
      </c>
      <c r="U348">
        <v>1328841.99</v>
      </c>
      <c r="W348">
        <v>442947.33</v>
      </c>
      <c r="X348">
        <v>3100631.31</v>
      </c>
      <c r="Y348">
        <v>3100631.31</v>
      </c>
      <c r="Z348">
        <v>3100631.31</v>
      </c>
      <c r="AA348">
        <v>3100631.31</v>
      </c>
      <c r="AB348">
        <v>3100631.31</v>
      </c>
      <c r="AC348">
        <v>3100631.31</v>
      </c>
      <c r="AD348">
        <v>3100631.31</v>
      </c>
      <c r="AE348">
        <v>2657683.98</v>
      </c>
      <c r="AG348">
        <v>442947.33</v>
      </c>
      <c r="AH348">
        <v>3100631.31</v>
      </c>
      <c r="AI348">
        <v>3100631.31</v>
      </c>
      <c r="AJ348">
        <v>3100631.31</v>
      </c>
      <c r="AK348">
        <v>3100631.31</v>
      </c>
      <c r="AL348">
        <v>885894.66</v>
      </c>
    </row>
    <row r="349" spans="1:38" x14ac:dyDescent="0.3">
      <c r="A349" t="s">
        <v>19</v>
      </c>
      <c r="B349" t="s">
        <v>138</v>
      </c>
      <c r="C349" t="s">
        <v>128</v>
      </c>
      <c r="D349" t="s">
        <v>31</v>
      </c>
      <c r="E349" t="s">
        <v>387</v>
      </c>
      <c r="F349" t="s">
        <v>386</v>
      </c>
    </row>
    <row r="350" spans="1:38" x14ac:dyDescent="0.3">
      <c r="A350" t="s">
        <v>19</v>
      </c>
      <c r="B350" t="s">
        <v>141</v>
      </c>
      <c r="C350" t="s">
        <v>128</v>
      </c>
      <c r="D350" t="s">
        <v>31</v>
      </c>
      <c r="E350" t="s">
        <v>387</v>
      </c>
      <c r="F350" t="s">
        <v>384</v>
      </c>
      <c r="U350">
        <v>233718.15</v>
      </c>
      <c r="W350">
        <v>77906.05</v>
      </c>
      <c r="X350">
        <v>545342.35</v>
      </c>
      <c r="Y350">
        <v>545342.35</v>
      </c>
      <c r="Z350">
        <v>545342.35</v>
      </c>
      <c r="AA350">
        <v>545342.35</v>
      </c>
      <c r="AB350">
        <v>545342.35</v>
      </c>
      <c r="AC350">
        <v>545342.35</v>
      </c>
      <c r="AD350">
        <v>545342.35</v>
      </c>
      <c r="AE350">
        <v>467436.3</v>
      </c>
      <c r="AG350">
        <v>77906.05</v>
      </c>
    </row>
    <row r="351" spans="1:38" x14ac:dyDescent="0.3">
      <c r="A351" t="s">
        <v>19</v>
      </c>
      <c r="B351" t="s">
        <v>141</v>
      </c>
      <c r="C351" t="s">
        <v>128</v>
      </c>
      <c r="D351" t="s">
        <v>31</v>
      </c>
      <c r="E351" t="s">
        <v>387</v>
      </c>
      <c r="F351" t="s">
        <v>385</v>
      </c>
      <c r="U351">
        <v>175288.61</v>
      </c>
      <c r="W351">
        <v>58429.54</v>
      </c>
      <c r="X351">
        <v>409006.76</v>
      </c>
      <c r="Y351">
        <v>409006.76</v>
      </c>
      <c r="Z351">
        <v>409006.76</v>
      </c>
      <c r="AA351">
        <v>409006.76</v>
      </c>
      <c r="AB351">
        <v>409006.76</v>
      </c>
      <c r="AC351">
        <v>409006.76</v>
      </c>
      <c r="AD351">
        <v>409006.76</v>
      </c>
      <c r="AE351">
        <v>350577.23</v>
      </c>
      <c r="AG351">
        <v>58429.54</v>
      </c>
      <c r="AH351">
        <v>409006.76</v>
      </c>
      <c r="AI351">
        <v>409006.76</v>
      </c>
      <c r="AJ351">
        <v>350577.22</v>
      </c>
    </row>
    <row r="352" spans="1:38" x14ac:dyDescent="0.3">
      <c r="A352" t="s">
        <v>19</v>
      </c>
      <c r="B352" t="s">
        <v>141</v>
      </c>
      <c r="C352" t="s">
        <v>128</v>
      </c>
      <c r="D352" t="s">
        <v>31</v>
      </c>
      <c r="E352" t="s">
        <v>387</v>
      </c>
      <c r="F352" t="s">
        <v>386</v>
      </c>
    </row>
    <row r="353" spans="1:41" x14ac:dyDescent="0.3">
      <c r="A353" t="s">
        <v>19</v>
      </c>
      <c r="B353" t="s">
        <v>144</v>
      </c>
      <c r="C353" t="s">
        <v>128</v>
      </c>
      <c r="D353" t="s">
        <v>61</v>
      </c>
      <c r="E353" t="s">
        <v>387</v>
      </c>
      <c r="F353" t="s">
        <v>384</v>
      </c>
      <c r="AD353">
        <v>50546.080000000002</v>
      </c>
      <c r="AE353">
        <v>101092.16</v>
      </c>
      <c r="AG353">
        <v>16848.689999999999</v>
      </c>
      <c r="AH353">
        <v>117940.85</v>
      </c>
      <c r="AI353">
        <v>117940.85</v>
      </c>
      <c r="AJ353">
        <v>101092.16</v>
      </c>
    </row>
    <row r="354" spans="1:41" x14ac:dyDescent="0.3">
      <c r="A354" t="s">
        <v>19</v>
      </c>
      <c r="B354" t="s">
        <v>144</v>
      </c>
      <c r="C354" t="s">
        <v>128</v>
      </c>
      <c r="D354" t="s">
        <v>61</v>
      </c>
      <c r="E354" t="s">
        <v>387</v>
      </c>
      <c r="F354" t="s">
        <v>385</v>
      </c>
      <c r="AD354">
        <v>24858.73</v>
      </c>
      <c r="AE354">
        <v>49717.46</v>
      </c>
      <c r="AG354">
        <v>8286.24</v>
      </c>
      <c r="AH354">
        <v>58003.7</v>
      </c>
      <c r="AI354">
        <v>58003.7</v>
      </c>
      <c r="AJ354">
        <v>58003.7</v>
      </c>
      <c r="AK354">
        <v>58003.7</v>
      </c>
      <c r="AL354">
        <v>58003.7</v>
      </c>
      <c r="AM354">
        <v>58003.7</v>
      </c>
      <c r="AN354">
        <v>58003.7</v>
      </c>
      <c r="AO354">
        <v>16572.490000000002</v>
      </c>
    </row>
    <row r="355" spans="1:41" x14ac:dyDescent="0.3">
      <c r="A355" t="s">
        <v>19</v>
      </c>
      <c r="B355" t="s">
        <v>144</v>
      </c>
      <c r="C355" t="s">
        <v>128</v>
      </c>
      <c r="D355" t="s">
        <v>61</v>
      </c>
      <c r="E355" t="s">
        <v>387</v>
      </c>
      <c r="F355" t="s">
        <v>386</v>
      </c>
    </row>
    <row r="356" spans="1:41" x14ac:dyDescent="0.3">
      <c r="A356" t="s">
        <v>19</v>
      </c>
      <c r="B356" t="s">
        <v>148</v>
      </c>
      <c r="C356" t="s">
        <v>128</v>
      </c>
      <c r="D356" t="s">
        <v>64</v>
      </c>
      <c r="E356" t="s">
        <v>387</v>
      </c>
      <c r="F356" t="s">
        <v>384</v>
      </c>
      <c r="AD356">
        <v>34015.730000000003</v>
      </c>
      <c r="AE356">
        <v>68031.460000000006</v>
      </c>
      <c r="AG356">
        <v>11338.58</v>
      </c>
      <c r="AH356">
        <v>79370.039999999994</v>
      </c>
      <c r="AI356">
        <v>79370.039999999994</v>
      </c>
      <c r="AJ356">
        <v>68031.460000000006</v>
      </c>
    </row>
    <row r="357" spans="1:41" x14ac:dyDescent="0.3">
      <c r="A357" t="s">
        <v>19</v>
      </c>
      <c r="B357" t="s">
        <v>148</v>
      </c>
      <c r="C357" t="s">
        <v>128</v>
      </c>
      <c r="D357" t="s">
        <v>64</v>
      </c>
      <c r="E357" t="s">
        <v>387</v>
      </c>
      <c r="F357" t="s">
        <v>385</v>
      </c>
      <c r="AD357">
        <v>34015.730000000003</v>
      </c>
      <c r="AE357">
        <v>68031.460000000006</v>
      </c>
      <c r="AG357">
        <v>11338.58</v>
      </c>
      <c r="AH357">
        <v>79370.039999999994</v>
      </c>
      <c r="AI357">
        <v>79370.039999999994</v>
      </c>
      <c r="AJ357">
        <v>68031.460000000006</v>
      </c>
    </row>
    <row r="358" spans="1:41" x14ac:dyDescent="0.3">
      <c r="A358" t="s">
        <v>19</v>
      </c>
      <c r="B358" t="s">
        <v>148</v>
      </c>
      <c r="C358" t="s">
        <v>128</v>
      </c>
      <c r="D358" t="s">
        <v>64</v>
      </c>
      <c r="E358" t="s">
        <v>387</v>
      </c>
      <c r="F358" t="s">
        <v>386</v>
      </c>
    </row>
    <row r="359" spans="1:41" x14ac:dyDescent="0.3">
      <c r="A359" t="s">
        <v>19</v>
      </c>
      <c r="B359" t="s">
        <v>151</v>
      </c>
      <c r="C359" t="s">
        <v>128</v>
      </c>
      <c r="D359" t="s">
        <v>35</v>
      </c>
      <c r="E359" t="s">
        <v>387</v>
      </c>
      <c r="F359" t="s">
        <v>384</v>
      </c>
      <c r="R359">
        <v>371608.62</v>
      </c>
      <c r="S359">
        <v>433543.38</v>
      </c>
      <c r="T359">
        <v>433543.38</v>
      </c>
      <c r="U359">
        <v>309673.84999999998</v>
      </c>
      <c r="W359">
        <v>61934.77</v>
      </c>
      <c r="X359">
        <v>433543.38</v>
      </c>
      <c r="Y359">
        <v>433543.38</v>
      </c>
      <c r="Z359">
        <v>433543.38</v>
      </c>
      <c r="AA359">
        <v>433543.38</v>
      </c>
      <c r="AB359">
        <v>433543.38</v>
      </c>
      <c r="AC359">
        <v>433543.38</v>
      </c>
      <c r="AD359">
        <v>433543.38</v>
      </c>
      <c r="AE359">
        <v>371608.62</v>
      </c>
      <c r="AG359">
        <v>61934.77</v>
      </c>
      <c r="AH359">
        <v>433543.38</v>
      </c>
      <c r="AI359">
        <v>433543.38</v>
      </c>
      <c r="AJ359">
        <v>433543.38</v>
      </c>
      <c r="AK359">
        <v>433543.38</v>
      </c>
      <c r="AL359">
        <v>433543.38</v>
      </c>
      <c r="AM359">
        <v>185804.31</v>
      </c>
    </row>
    <row r="360" spans="1:41" x14ac:dyDescent="0.3">
      <c r="A360" t="s">
        <v>19</v>
      </c>
      <c r="B360" t="s">
        <v>151</v>
      </c>
      <c r="C360" t="s">
        <v>128</v>
      </c>
      <c r="D360" t="s">
        <v>35</v>
      </c>
      <c r="E360" t="s">
        <v>387</v>
      </c>
      <c r="F360" t="s">
        <v>385</v>
      </c>
      <c r="R360">
        <v>371608.62</v>
      </c>
      <c r="S360">
        <v>433543.38</v>
      </c>
      <c r="T360">
        <v>433543.38</v>
      </c>
      <c r="U360">
        <v>309673.84999999998</v>
      </c>
      <c r="W360">
        <v>61934.77</v>
      </c>
      <c r="X360">
        <v>433543.38</v>
      </c>
      <c r="Y360">
        <v>433543.38</v>
      </c>
      <c r="Z360">
        <v>433543.38</v>
      </c>
      <c r="AA360">
        <v>433543.38</v>
      </c>
      <c r="AB360">
        <v>433543.38</v>
      </c>
      <c r="AC360">
        <v>433543.38</v>
      </c>
      <c r="AD360">
        <v>433543.38</v>
      </c>
      <c r="AE360">
        <v>371608.62</v>
      </c>
      <c r="AG360">
        <v>61934.77</v>
      </c>
      <c r="AH360">
        <v>433543.38</v>
      </c>
      <c r="AI360">
        <v>433543.38</v>
      </c>
      <c r="AJ360">
        <v>433543.38</v>
      </c>
      <c r="AK360">
        <v>433543.38</v>
      </c>
      <c r="AL360">
        <v>433543.38</v>
      </c>
      <c r="AM360">
        <v>185804.31</v>
      </c>
    </row>
    <row r="361" spans="1:41" x14ac:dyDescent="0.3">
      <c r="A361" t="s">
        <v>19</v>
      </c>
      <c r="B361" t="s">
        <v>151</v>
      </c>
      <c r="C361" t="s">
        <v>128</v>
      </c>
      <c r="D361" t="s">
        <v>35</v>
      </c>
      <c r="E361" t="s">
        <v>387</v>
      </c>
      <c r="F361" t="s">
        <v>386</v>
      </c>
    </row>
    <row r="362" spans="1:41" x14ac:dyDescent="0.3">
      <c r="A362" t="s">
        <v>19</v>
      </c>
      <c r="B362" t="s">
        <v>155</v>
      </c>
      <c r="C362" t="s">
        <v>128</v>
      </c>
      <c r="D362" t="s">
        <v>35</v>
      </c>
      <c r="E362" t="s">
        <v>387</v>
      </c>
      <c r="F362" t="s">
        <v>384</v>
      </c>
      <c r="U362">
        <v>94177.01</v>
      </c>
      <c r="W362">
        <v>31392.34</v>
      </c>
      <c r="X362">
        <v>219746.35</v>
      </c>
      <c r="Y362">
        <v>219746.35</v>
      </c>
      <c r="Z362">
        <v>219746.35</v>
      </c>
      <c r="AA362">
        <v>219746.35</v>
      </c>
      <c r="AB362">
        <v>219746.35</v>
      </c>
      <c r="AC362">
        <v>219746.35</v>
      </c>
      <c r="AD362">
        <v>219746.35</v>
      </c>
      <c r="AE362">
        <v>188354.01</v>
      </c>
      <c r="AG362">
        <v>31392.34</v>
      </c>
      <c r="AH362">
        <v>219746.35</v>
      </c>
      <c r="AI362">
        <v>219746.35</v>
      </c>
      <c r="AJ362">
        <v>219746.35</v>
      </c>
      <c r="AK362">
        <v>219746.35</v>
      </c>
      <c r="AL362">
        <v>62784.67</v>
      </c>
    </row>
    <row r="363" spans="1:41" x14ac:dyDescent="0.3">
      <c r="A363" t="s">
        <v>19</v>
      </c>
      <c r="B363" t="s">
        <v>155</v>
      </c>
      <c r="C363" t="s">
        <v>128</v>
      </c>
      <c r="D363" t="s">
        <v>35</v>
      </c>
      <c r="E363" t="s">
        <v>387</v>
      </c>
      <c r="F363" t="s">
        <v>385</v>
      </c>
      <c r="U363">
        <v>94177.01</v>
      </c>
      <c r="W363">
        <v>31392.34</v>
      </c>
      <c r="X363">
        <v>219746.35</v>
      </c>
      <c r="Y363">
        <v>219746.35</v>
      </c>
      <c r="Z363">
        <v>219746.35</v>
      </c>
      <c r="AA363">
        <v>219746.35</v>
      </c>
      <c r="AB363">
        <v>219746.35</v>
      </c>
      <c r="AC363">
        <v>219746.35</v>
      </c>
      <c r="AD363">
        <v>219746.35</v>
      </c>
      <c r="AE363">
        <v>188354.01</v>
      </c>
      <c r="AG363">
        <v>31392.34</v>
      </c>
      <c r="AH363">
        <v>219746.35</v>
      </c>
      <c r="AI363">
        <v>219746.35</v>
      </c>
      <c r="AJ363">
        <v>219746.35</v>
      </c>
      <c r="AK363">
        <v>219746.35</v>
      </c>
      <c r="AL363">
        <v>62784.67</v>
      </c>
    </row>
    <row r="364" spans="1:41" x14ac:dyDescent="0.3">
      <c r="A364" t="s">
        <v>19</v>
      </c>
      <c r="B364" t="s">
        <v>155</v>
      </c>
      <c r="C364" t="s">
        <v>128</v>
      </c>
      <c r="D364" t="s">
        <v>35</v>
      </c>
      <c r="E364" t="s">
        <v>387</v>
      </c>
      <c r="F364" t="s">
        <v>386</v>
      </c>
    </row>
    <row r="365" spans="1:41" x14ac:dyDescent="0.3">
      <c r="A365" t="s">
        <v>19</v>
      </c>
      <c r="B365" t="s">
        <v>158</v>
      </c>
      <c r="C365" t="s">
        <v>161</v>
      </c>
      <c r="D365" t="s">
        <v>40</v>
      </c>
      <c r="E365" t="s">
        <v>387</v>
      </c>
      <c r="F365" t="s">
        <v>384</v>
      </c>
      <c r="J365">
        <v>226741.33</v>
      </c>
      <c r="K365">
        <v>317437.86</v>
      </c>
      <c r="L365">
        <v>317437.86</v>
      </c>
      <c r="M365">
        <v>45348.26</v>
      </c>
    </row>
    <row r="366" spans="1:41" x14ac:dyDescent="0.3">
      <c r="A366" t="s">
        <v>19</v>
      </c>
      <c r="B366" t="s">
        <v>158</v>
      </c>
      <c r="C366" t="s">
        <v>161</v>
      </c>
      <c r="D366" t="s">
        <v>40</v>
      </c>
      <c r="E366" t="s">
        <v>387</v>
      </c>
      <c r="F366" t="s">
        <v>385</v>
      </c>
      <c r="J366">
        <v>226741.33</v>
      </c>
      <c r="K366">
        <v>317437.86</v>
      </c>
      <c r="L366">
        <v>317437.86</v>
      </c>
      <c r="M366">
        <v>45348.26</v>
      </c>
    </row>
    <row r="367" spans="1:41" x14ac:dyDescent="0.3">
      <c r="A367" t="s">
        <v>19</v>
      </c>
      <c r="B367" t="s">
        <v>158</v>
      </c>
      <c r="C367" t="s">
        <v>161</v>
      </c>
      <c r="D367" t="s">
        <v>40</v>
      </c>
      <c r="E367" t="s">
        <v>387</v>
      </c>
      <c r="F367" t="s">
        <v>386</v>
      </c>
    </row>
    <row r="368" spans="1:41" x14ac:dyDescent="0.3">
      <c r="A368" t="s">
        <v>19</v>
      </c>
      <c r="B368" t="s">
        <v>164</v>
      </c>
      <c r="C368" t="s">
        <v>161</v>
      </c>
      <c r="D368" t="s">
        <v>40</v>
      </c>
      <c r="E368" t="s">
        <v>387</v>
      </c>
      <c r="F368" t="s">
        <v>384</v>
      </c>
      <c r="X368">
        <v>493162.38</v>
      </c>
      <c r="Y368">
        <v>328774.92</v>
      </c>
    </row>
    <row r="369" spans="1:41" x14ac:dyDescent="0.3">
      <c r="A369" t="s">
        <v>19</v>
      </c>
      <c r="B369" t="s">
        <v>164</v>
      </c>
      <c r="C369" t="s">
        <v>161</v>
      </c>
      <c r="D369" t="s">
        <v>40</v>
      </c>
      <c r="E369" t="s">
        <v>387</v>
      </c>
      <c r="F369" t="s">
        <v>385</v>
      </c>
      <c r="X369">
        <v>164387.46</v>
      </c>
      <c r="Y369">
        <v>575356.11</v>
      </c>
      <c r="Z369">
        <v>82193.73</v>
      </c>
    </row>
    <row r="370" spans="1:41" x14ac:dyDescent="0.3">
      <c r="A370" t="s">
        <v>19</v>
      </c>
      <c r="B370" t="s">
        <v>164</v>
      </c>
      <c r="C370" t="s">
        <v>161</v>
      </c>
      <c r="D370" t="s">
        <v>40</v>
      </c>
      <c r="E370" t="s">
        <v>387</v>
      </c>
      <c r="F370" t="s">
        <v>386</v>
      </c>
    </row>
    <row r="371" spans="1:41" x14ac:dyDescent="0.3">
      <c r="A371" t="s">
        <v>19</v>
      </c>
      <c r="B371" t="s">
        <v>167</v>
      </c>
      <c r="C371" t="s">
        <v>161</v>
      </c>
      <c r="D371" t="s">
        <v>40</v>
      </c>
      <c r="E371" t="s">
        <v>387</v>
      </c>
      <c r="F371" t="s">
        <v>384</v>
      </c>
      <c r="M371">
        <v>51016.800000000003</v>
      </c>
      <c r="N371">
        <v>59519.6</v>
      </c>
      <c r="O371">
        <v>25508.400000000001</v>
      </c>
    </row>
    <row r="372" spans="1:41" x14ac:dyDescent="0.3">
      <c r="A372" t="s">
        <v>19</v>
      </c>
      <c r="B372" t="s">
        <v>167</v>
      </c>
      <c r="C372" t="s">
        <v>161</v>
      </c>
      <c r="D372" t="s">
        <v>40</v>
      </c>
      <c r="E372" t="s">
        <v>387</v>
      </c>
      <c r="F372" t="s">
        <v>385</v>
      </c>
      <c r="M372">
        <v>51016.800000000003</v>
      </c>
      <c r="N372">
        <v>59519.6</v>
      </c>
      <c r="O372">
        <v>25508.400000000001</v>
      </c>
    </row>
    <row r="373" spans="1:41" x14ac:dyDescent="0.3">
      <c r="A373" t="s">
        <v>19</v>
      </c>
      <c r="B373" t="s">
        <v>167</v>
      </c>
      <c r="C373" t="s">
        <v>161</v>
      </c>
      <c r="D373" t="s">
        <v>40</v>
      </c>
      <c r="E373" t="s">
        <v>387</v>
      </c>
      <c r="F373" t="s">
        <v>386</v>
      </c>
    </row>
    <row r="374" spans="1:41" x14ac:dyDescent="0.3">
      <c r="A374" t="s">
        <v>19</v>
      </c>
      <c r="B374" t="s">
        <v>171</v>
      </c>
      <c r="C374" t="s">
        <v>161</v>
      </c>
      <c r="D374" t="s">
        <v>40</v>
      </c>
      <c r="E374" t="s">
        <v>387</v>
      </c>
      <c r="F374" t="s">
        <v>384</v>
      </c>
      <c r="O374">
        <v>269255.32</v>
      </c>
      <c r="P374">
        <v>471196.8</v>
      </c>
      <c r="Q374">
        <v>471196.8</v>
      </c>
      <c r="R374">
        <v>403882.98</v>
      </c>
    </row>
    <row r="375" spans="1:41" x14ac:dyDescent="0.3">
      <c r="A375" t="s">
        <v>19</v>
      </c>
      <c r="B375" t="s">
        <v>171</v>
      </c>
      <c r="C375" t="s">
        <v>161</v>
      </c>
      <c r="D375" t="s">
        <v>40</v>
      </c>
      <c r="E375" t="s">
        <v>387</v>
      </c>
      <c r="F375" t="s">
        <v>385</v>
      </c>
      <c r="O375">
        <v>269255.32</v>
      </c>
      <c r="P375">
        <v>471196.8</v>
      </c>
      <c r="Q375">
        <v>471196.8</v>
      </c>
      <c r="R375">
        <v>403882.98</v>
      </c>
    </row>
    <row r="376" spans="1:41" x14ac:dyDescent="0.3">
      <c r="A376" t="s">
        <v>19</v>
      </c>
      <c r="B376" t="s">
        <v>171</v>
      </c>
      <c r="C376" t="s">
        <v>161</v>
      </c>
      <c r="D376" t="s">
        <v>40</v>
      </c>
      <c r="E376" t="s">
        <v>387</v>
      </c>
      <c r="F376" t="s">
        <v>386</v>
      </c>
    </row>
    <row r="377" spans="1:41" x14ac:dyDescent="0.3">
      <c r="A377" t="s">
        <v>19</v>
      </c>
      <c r="B377" t="s">
        <v>175</v>
      </c>
      <c r="C377" t="s">
        <v>161</v>
      </c>
      <c r="D377" t="s">
        <v>40</v>
      </c>
      <c r="E377" t="s">
        <v>387</v>
      </c>
      <c r="F377" t="s">
        <v>384</v>
      </c>
      <c r="R377">
        <v>98738.76</v>
      </c>
      <c r="S377">
        <v>691171.33</v>
      </c>
      <c r="T377">
        <v>691171.33</v>
      </c>
      <c r="U377">
        <v>296216.28000000003</v>
      </c>
    </row>
    <row r="378" spans="1:41" x14ac:dyDescent="0.3">
      <c r="A378" t="s">
        <v>19</v>
      </c>
      <c r="B378" t="s">
        <v>175</v>
      </c>
      <c r="C378" t="s">
        <v>161</v>
      </c>
      <c r="D378" t="s">
        <v>40</v>
      </c>
      <c r="E378" t="s">
        <v>387</v>
      </c>
      <c r="F378" t="s">
        <v>385</v>
      </c>
      <c r="R378">
        <v>88864.89</v>
      </c>
      <c r="S378">
        <v>622054.19999999995</v>
      </c>
      <c r="T378">
        <v>622054.19999999995</v>
      </c>
      <c r="U378">
        <v>444324.43</v>
      </c>
    </row>
    <row r="379" spans="1:41" x14ac:dyDescent="0.3">
      <c r="A379" t="s">
        <v>19</v>
      </c>
      <c r="B379" t="s">
        <v>175</v>
      </c>
      <c r="C379" t="s">
        <v>161</v>
      </c>
      <c r="D379" t="s">
        <v>40</v>
      </c>
      <c r="E379" t="s">
        <v>387</v>
      </c>
      <c r="F379" t="s">
        <v>386</v>
      </c>
    </row>
    <row r="380" spans="1:41" x14ac:dyDescent="0.3">
      <c r="A380" t="s">
        <v>19</v>
      </c>
      <c r="B380" t="s">
        <v>179</v>
      </c>
      <c r="C380" t="s">
        <v>161</v>
      </c>
      <c r="D380" t="s">
        <v>40</v>
      </c>
      <c r="E380" t="s">
        <v>387</v>
      </c>
      <c r="F380" t="s">
        <v>384</v>
      </c>
      <c r="AI380">
        <v>535225.44999999995</v>
      </c>
      <c r="AJ380">
        <v>749315.64</v>
      </c>
      <c r="AK380">
        <v>749315.64</v>
      </c>
      <c r="AL380">
        <v>321135.27</v>
      </c>
    </row>
    <row r="381" spans="1:41" x14ac:dyDescent="0.3">
      <c r="A381" t="s">
        <v>19</v>
      </c>
      <c r="B381" t="s">
        <v>179</v>
      </c>
      <c r="C381" t="s">
        <v>161</v>
      </c>
      <c r="D381" t="s">
        <v>40</v>
      </c>
      <c r="E381" t="s">
        <v>387</v>
      </c>
      <c r="F381" t="s">
        <v>385</v>
      </c>
      <c r="AI381">
        <v>535225.44999999995</v>
      </c>
      <c r="AJ381">
        <v>749315.64</v>
      </c>
      <c r="AK381">
        <v>749315.64</v>
      </c>
      <c r="AL381">
        <v>321135.27</v>
      </c>
    </row>
    <row r="382" spans="1:41" x14ac:dyDescent="0.3">
      <c r="A382" t="s">
        <v>19</v>
      </c>
      <c r="B382" t="s">
        <v>179</v>
      </c>
      <c r="C382" t="s">
        <v>161</v>
      </c>
      <c r="D382" t="s">
        <v>40</v>
      </c>
      <c r="E382" t="s">
        <v>387</v>
      </c>
      <c r="F382" t="s">
        <v>386</v>
      </c>
    </row>
    <row r="383" spans="1:41" x14ac:dyDescent="0.3">
      <c r="A383" t="s">
        <v>19</v>
      </c>
      <c r="B383" t="s">
        <v>183</v>
      </c>
      <c r="C383" t="s">
        <v>161</v>
      </c>
      <c r="D383" t="s">
        <v>40</v>
      </c>
      <c r="E383" t="s">
        <v>387</v>
      </c>
      <c r="F383" t="s">
        <v>384</v>
      </c>
      <c r="AL383">
        <v>146188.48000000001</v>
      </c>
      <c r="AM383">
        <v>255829.85</v>
      </c>
      <c r="AN383">
        <v>255829.85</v>
      </c>
      <c r="AO383">
        <v>36547.120000000003</v>
      </c>
    </row>
    <row r="384" spans="1:41" x14ac:dyDescent="0.3">
      <c r="A384" t="s">
        <v>19</v>
      </c>
      <c r="B384" t="s">
        <v>183</v>
      </c>
      <c r="C384" t="s">
        <v>161</v>
      </c>
      <c r="D384" t="s">
        <v>40</v>
      </c>
      <c r="E384" t="s">
        <v>387</v>
      </c>
      <c r="F384" t="s">
        <v>385</v>
      </c>
      <c r="AL384">
        <v>146188.48000000001</v>
      </c>
      <c r="AM384">
        <v>255829.85</v>
      </c>
      <c r="AN384">
        <v>255829.85</v>
      </c>
      <c r="AO384">
        <v>36547.120000000003</v>
      </c>
    </row>
    <row r="385" spans="1:50" x14ac:dyDescent="0.3">
      <c r="A385" t="s">
        <v>19</v>
      </c>
      <c r="B385" t="s">
        <v>183</v>
      </c>
      <c r="C385" t="s">
        <v>161</v>
      </c>
      <c r="D385" t="s">
        <v>40</v>
      </c>
      <c r="E385" t="s">
        <v>387</v>
      </c>
      <c r="F385" t="s">
        <v>386</v>
      </c>
    </row>
    <row r="386" spans="1:50" x14ac:dyDescent="0.3">
      <c r="A386" t="s">
        <v>19</v>
      </c>
      <c r="B386" t="s">
        <v>187</v>
      </c>
      <c r="C386" t="s">
        <v>161</v>
      </c>
      <c r="D386" t="s">
        <v>45</v>
      </c>
      <c r="E386" t="s">
        <v>387</v>
      </c>
      <c r="F386" t="s">
        <v>384</v>
      </c>
      <c r="AB386">
        <v>1349110.85</v>
      </c>
      <c r="AC386">
        <v>1888755.19</v>
      </c>
      <c r="AD386">
        <v>1888755.19</v>
      </c>
      <c r="AE386">
        <v>1618933.02</v>
      </c>
      <c r="AG386">
        <v>269822.17</v>
      </c>
      <c r="AH386">
        <v>1079288.68</v>
      </c>
    </row>
    <row r="387" spans="1:50" x14ac:dyDescent="0.3">
      <c r="A387" t="s">
        <v>19</v>
      </c>
      <c r="B387" t="s">
        <v>187</v>
      </c>
      <c r="C387" t="s">
        <v>161</v>
      </c>
      <c r="D387" t="s">
        <v>45</v>
      </c>
      <c r="E387" t="s">
        <v>387</v>
      </c>
      <c r="F387" t="s">
        <v>385</v>
      </c>
      <c r="AB387">
        <v>1156380.73</v>
      </c>
      <c r="AC387">
        <v>1618933.02</v>
      </c>
      <c r="AD387">
        <v>1618933.02</v>
      </c>
      <c r="AE387">
        <v>1387656.87</v>
      </c>
      <c r="AG387">
        <v>231276.15</v>
      </c>
      <c r="AH387">
        <v>1618933.02</v>
      </c>
      <c r="AI387">
        <v>462552.29</v>
      </c>
    </row>
    <row r="388" spans="1:50" x14ac:dyDescent="0.3">
      <c r="A388" t="s">
        <v>19</v>
      </c>
      <c r="B388" t="s">
        <v>187</v>
      </c>
      <c r="C388" t="s">
        <v>161</v>
      </c>
      <c r="D388" t="s">
        <v>45</v>
      </c>
      <c r="E388" t="s">
        <v>387</v>
      </c>
      <c r="F388" t="s">
        <v>386</v>
      </c>
    </row>
    <row r="389" spans="1:50" x14ac:dyDescent="0.3">
      <c r="A389" t="s">
        <v>19</v>
      </c>
      <c r="B389" t="s">
        <v>191</v>
      </c>
      <c r="C389" t="s">
        <v>161</v>
      </c>
      <c r="D389" t="s">
        <v>31</v>
      </c>
      <c r="E389" t="s">
        <v>387</v>
      </c>
      <c r="F389" t="s">
        <v>384</v>
      </c>
      <c r="AO389">
        <v>545065.31000000006</v>
      </c>
      <c r="AP389">
        <v>1907728.58</v>
      </c>
      <c r="AQ389">
        <v>1907728.58</v>
      </c>
      <c r="AR389">
        <v>1635195.93</v>
      </c>
    </row>
    <row r="390" spans="1:50" x14ac:dyDescent="0.3">
      <c r="A390" t="s">
        <v>19</v>
      </c>
      <c r="B390" t="s">
        <v>191</v>
      </c>
      <c r="C390" t="s">
        <v>161</v>
      </c>
      <c r="D390" t="s">
        <v>31</v>
      </c>
      <c r="E390" t="s">
        <v>387</v>
      </c>
      <c r="F390" t="s">
        <v>385</v>
      </c>
      <c r="AO390">
        <v>545065.31000000006</v>
      </c>
      <c r="AP390">
        <v>1907728.58</v>
      </c>
      <c r="AQ390">
        <v>1907728.58</v>
      </c>
      <c r="AR390">
        <v>1635195.93</v>
      </c>
    </row>
    <row r="391" spans="1:50" x14ac:dyDescent="0.3">
      <c r="A391" t="s">
        <v>19</v>
      </c>
      <c r="B391" t="s">
        <v>191</v>
      </c>
      <c r="C391" t="s">
        <v>161</v>
      </c>
      <c r="D391" t="s">
        <v>31</v>
      </c>
      <c r="E391" t="s">
        <v>387</v>
      </c>
      <c r="F391" t="s">
        <v>386</v>
      </c>
    </row>
    <row r="392" spans="1:50" x14ac:dyDescent="0.3">
      <c r="A392" t="s">
        <v>19</v>
      </c>
      <c r="B392" t="s">
        <v>197</v>
      </c>
      <c r="C392" t="s">
        <v>161</v>
      </c>
      <c r="D392" t="s">
        <v>61</v>
      </c>
      <c r="E392" t="s">
        <v>387</v>
      </c>
      <c r="F392" t="s">
        <v>384</v>
      </c>
      <c r="AO392">
        <v>15120.62</v>
      </c>
      <c r="AP392">
        <v>52922.18</v>
      </c>
    </row>
    <row r="393" spans="1:50" x14ac:dyDescent="0.3">
      <c r="A393" t="s">
        <v>19</v>
      </c>
      <c r="B393" t="s">
        <v>197</v>
      </c>
      <c r="C393" t="s">
        <v>161</v>
      </c>
      <c r="D393" t="s">
        <v>61</v>
      </c>
      <c r="E393" t="s">
        <v>387</v>
      </c>
      <c r="F393" t="s">
        <v>385</v>
      </c>
      <c r="AO393">
        <v>15120.62</v>
      </c>
      <c r="AP393">
        <v>52922.18</v>
      </c>
    </row>
    <row r="394" spans="1:50" x14ac:dyDescent="0.3">
      <c r="A394" t="s">
        <v>19</v>
      </c>
      <c r="B394" t="s">
        <v>197</v>
      </c>
      <c r="C394" t="s">
        <v>161</v>
      </c>
      <c r="D394" t="s">
        <v>61</v>
      </c>
      <c r="E394" t="s">
        <v>387</v>
      </c>
      <c r="F394" t="s">
        <v>386</v>
      </c>
    </row>
    <row r="395" spans="1:50" x14ac:dyDescent="0.3">
      <c r="A395" t="s">
        <v>19</v>
      </c>
      <c r="B395" t="s">
        <v>202</v>
      </c>
      <c r="C395" t="s">
        <v>161</v>
      </c>
      <c r="D395" t="s">
        <v>64</v>
      </c>
      <c r="E395" t="s">
        <v>387</v>
      </c>
      <c r="F395" t="s">
        <v>384</v>
      </c>
      <c r="AQ395">
        <v>32053.279999999999</v>
      </c>
      <c r="AR395">
        <v>13737.12</v>
      </c>
    </row>
    <row r="396" spans="1:50" x14ac:dyDescent="0.3">
      <c r="A396" t="s">
        <v>19</v>
      </c>
      <c r="B396" t="s">
        <v>202</v>
      </c>
      <c r="C396" t="s">
        <v>161</v>
      </c>
      <c r="D396" t="s">
        <v>64</v>
      </c>
      <c r="E396" t="s">
        <v>387</v>
      </c>
      <c r="F396" t="s">
        <v>385</v>
      </c>
      <c r="AQ396">
        <v>32053.279999999999</v>
      </c>
      <c r="AR396">
        <v>13737.12</v>
      </c>
    </row>
    <row r="397" spans="1:50" x14ac:dyDescent="0.3">
      <c r="A397" t="s">
        <v>19</v>
      </c>
      <c r="B397" t="s">
        <v>202</v>
      </c>
      <c r="C397" t="s">
        <v>161</v>
      </c>
      <c r="D397" t="s">
        <v>64</v>
      </c>
      <c r="E397" t="s">
        <v>387</v>
      </c>
      <c r="F397" t="s">
        <v>386</v>
      </c>
    </row>
    <row r="398" spans="1:50" x14ac:dyDescent="0.3">
      <c r="A398" t="s">
        <v>19</v>
      </c>
      <c r="B398" t="s">
        <v>205</v>
      </c>
      <c r="C398" t="s">
        <v>161</v>
      </c>
      <c r="D398" t="s">
        <v>35</v>
      </c>
      <c r="E398" t="s">
        <v>387</v>
      </c>
      <c r="F398" t="s">
        <v>384</v>
      </c>
      <c r="AR398">
        <v>49314.82</v>
      </c>
      <c r="AS398">
        <v>345203.75</v>
      </c>
      <c r="AT398">
        <v>345203.75</v>
      </c>
      <c r="AU398">
        <v>345203.75</v>
      </c>
      <c r="AV398">
        <v>295888.93</v>
      </c>
    </row>
    <row r="399" spans="1:50" x14ac:dyDescent="0.3">
      <c r="A399" t="s">
        <v>19</v>
      </c>
      <c r="B399" t="s">
        <v>205</v>
      </c>
      <c r="C399" t="s">
        <v>161</v>
      </c>
      <c r="D399" t="s">
        <v>35</v>
      </c>
      <c r="E399" t="s">
        <v>387</v>
      </c>
      <c r="F399" t="s">
        <v>385</v>
      </c>
      <c r="AR399">
        <v>30347.58</v>
      </c>
      <c r="AS399">
        <v>212433.08</v>
      </c>
      <c r="AT399">
        <v>212433.08</v>
      </c>
      <c r="AU399">
        <v>212433.08</v>
      </c>
      <c r="AV399">
        <v>212433.08</v>
      </c>
      <c r="AW399">
        <v>212433.08</v>
      </c>
      <c r="AX399">
        <v>91042.75</v>
      </c>
    </row>
    <row r="400" spans="1:50" x14ac:dyDescent="0.3">
      <c r="A400" t="s">
        <v>19</v>
      </c>
      <c r="B400" t="s">
        <v>205</v>
      </c>
      <c r="C400" t="s">
        <v>161</v>
      </c>
      <c r="D400" t="s">
        <v>35</v>
      </c>
      <c r="E400" t="s">
        <v>387</v>
      </c>
      <c r="F400" t="s">
        <v>386</v>
      </c>
      <c r="AX400">
        <v>197259.29</v>
      </c>
    </row>
    <row r="401" spans="1:42" x14ac:dyDescent="0.3">
      <c r="A401" t="s">
        <v>19</v>
      </c>
      <c r="B401" t="s">
        <v>212</v>
      </c>
      <c r="C401" t="s">
        <v>161</v>
      </c>
      <c r="D401" t="s">
        <v>40</v>
      </c>
      <c r="E401" t="s">
        <v>387</v>
      </c>
      <c r="F401" t="s">
        <v>384</v>
      </c>
      <c r="M401">
        <v>272089.59000000003</v>
      </c>
      <c r="N401">
        <v>317437.86</v>
      </c>
      <c r="O401">
        <v>317437.86</v>
      </c>
    </row>
    <row r="402" spans="1:42" x14ac:dyDescent="0.3">
      <c r="A402" t="s">
        <v>19</v>
      </c>
      <c r="B402" t="s">
        <v>212</v>
      </c>
      <c r="C402" t="s">
        <v>161</v>
      </c>
      <c r="D402" t="s">
        <v>40</v>
      </c>
      <c r="E402" t="s">
        <v>387</v>
      </c>
      <c r="F402" t="s">
        <v>385</v>
      </c>
      <c r="M402">
        <v>272089.59000000003</v>
      </c>
      <c r="N402">
        <v>317437.86</v>
      </c>
      <c r="O402">
        <v>317437.86</v>
      </c>
    </row>
    <row r="403" spans="1:42" x14ac:dyDescent="0.3">
      <c r="A403" t="s">
        <v>19</v>
      </c>
      <c r="B403" t="s">
        <v>212</v>
      </c>
      <c r="C403" t="s">
        <v>161</v>
      </c>
      <c r="D403" t="s">
        <v>40</v>
      </c>
      <c r="E403" t="s">
        <v>387</v>
      </c>
      <c r="F403" t="s">
        <v>386</v>
      </c>
    </row>
    <row r="404" spans="1:42" x14ac:dyDescent="0.3">
      <c r="A404" t="s">
        <v>19</v>
      </c>
      <c r="B404" t="s">
        <v>215</v>
      </c>
      <c r="C404" t="s">
        <v>161</v>
      </c>
      <c r="D404" t="s">
        <v>40</v>
      </c>
      <c r="E404" t="s">
        <v>387</v>
      </c>
      <c r="F404" t="s">
        <v>384</v>
      </c>
      <c r="AG404">
        <v>82193.73</v>
      </c>
      <c r="AH404">
        <v>575356.11</v>
      </c>
      <c r="AI404">
        <v>164387.46</v>
      </c>
    </row>
    <row r="405" spans="1:42" x14ac:dyDescent="0.3">
      <c r="A405" t="s">
        <v>19</v>
      </c>
      <c r="B405" t="s">
        <v>215</v>
      </c>
      <c r="C405" t="s">
        <v>161</v>
      </c>
      <c r="D405" t="s">
        <v>40</v>
      </c>
      <c r="E405" t="s">
        <v>387</v>
      </c>
      <c r="F405" t="s">
        <v>385</v>
      </c>
      <c r="AG405">
        <v>82193.73</v>
      </c>
      <c r="AH405">
        <v>575356.11</v>
      </c>
      <c r="AI405">
        <v>164387.46</v>
      </c>
    </row>
    <row r="406" spans="1:42" x14ac:dyDescent="0.3">
      <c r="A406" t="s">
        <v>19</v>
      </c>
      <c r="B406" t="s">
        <v>215</v>
      </c>
      <c r="C406" t="s">
        <v>161</v>
      </c>
      <c r="D406" t="s">
        <v>40</v>
      </c>
      <c r="E406" t="s">
        <v>387</v>
      </c>
      <c r="F406" t="s">
        <v>386</v>
      </c>
    </row>
    <row r="407" spans="1:42" x14ac:dyDescent="0.3">
      <c r="A407" t="s">
        <v>19</v>
      </c>
      <c r="B407" t="s">
        <v>217</v>
      </c>
      <c r="C407" t="s">
        <v>161</v>
      </c>
      <c r="D407" t="s">
        <v>40</v>
      </c>
      <c r="E407" t="s">
        <v>387</v>
      </c>
      <c r="F407" t="s">
        <v>384</v>
      </c>
      <c r="P407">
        <v>59519.6</v>
      </c>
      <c r="Q407">
        <v>59519.6</v>
      </c>
      <c r="R407">
        <v>17005.599999999999</v>
      </c>
    </row>
    <row r="408" spans="1:42" x14ac:dyDescent="0.3">
      <c r="A408" t="s">
        <v>19</v>
      </c>
      <c r="B408" t="s">
        <v>217</v>
      </c>
      <c r="C408" t="s">
        <v>161</v>
      </c>
      <c r="D408" t="s">
        <v>40</v>
      </c>
      <c r="E408" t="s">
        <v>387</v>
      </c>
      <c r="F408" t="s">
        <v>385</v>
      </c>
      <c r="P408">
        <v>59519.6</v>
      </c>
      <c r="Q408">
        <v>59519.6</v>
      </c>
      <c r="R408">
        <v>17005.599999999999</v>
      </c>
    </row>
    <row r="409" spans="1:42" x14ac:dyDescent="0.3">
      <c r="A409" t="s">
        <v>19</v>
      </c>
      <c r="B409" t="s">
        <v>217</v>
      </c>
      <c r="C409" t="s">
        <v>161</v>
      </c>
      <c r="D409" t="s">
        <v>40</v>
      </c>
      <c r="E409" t="s">
        <v>387</v>
      </c>
      <c r="F409" t="s">
        <v>386</v>
      </c>
    </row>
    <row r="410" spans="1:42" x14ac:dyDescent="0.3">
      <c r="A410" t="s">
        <v>19</v>
      </c>
      <c r="B410" t="s">
        <v>219</v>
      </c>
      <c r="C410" t="s">
        <v>161</v>
      </c>
      <c r="D410" t="s">
        <v>40</v>
      </c>
      <c r="E410" t="s">
        <v>387</v>
      </c>
      <c r="F410" t="s">
        <v>384</v>
      </c>
      <c r="R410">
        <v>67313.83</v>
      </c>
      <c r="S410">
        <v>471196.8</v>
      </c>
      <c r="T410">
        <v>471196.8</v>
      </c>
      <c r="U410">
        <v>336569.15</v>
      </c>
      <c r="W410">
        <v>67313.83</v>
      </c>
      <c r="X410">
        <v>201941.49</v>
      </c>
    </row>
    <row r="411" spans="1:42" x14ac:dyDescent="0.3">
      <c r="A411" t="s">
        <v>19</v>
      </c>
      <c r="B411" t="s">
        <v>219</v>
      </c>
      <c r="C411" t="s">
        <v>161</v>
      </c>
      <c r="D411" t="s">
        <v>40</v>
      </c>
      <c r="E411" t="s">
        <v>387</v>
      </c>
      <c r="F411" t="s">
        <v>385</v>
      </c>
      <c r="R411">
        <v>59834.51</v>
      </c>
      <c r="S411">
        <v>418841.59999999998</v>
      </c>
      <c r="T411">
        <v>418841.59999999998</v>
      </c>
      <c r="U411">
        <v>299172.57</v>
      </c>
      <c r="W411">
        <v>59834.51</v>
      </c>
      <c r="X411">
        <v>359007.09</v>
      </c>
    </row>
    <row r="412" spans="1:42" x14ac:dyDescent="0.3">
      <c r="A412" t="s">
        <v>19</v>
      </c>
      <c r="B412" t="s">
        <v>219</v>
      </c>
      <c r="C412" t="s">
        <v>161</v>
      </c>
      <c r="D412" t="s">
        <v>40</v>
      </c>
      <c r="E412" t="s">
        <v>387</v>
      </c>
      <c r="F412" t="s">
        <v>386</v>
      </c>
    </row>
    <row r="413" spans="1:42" x14ac:dyDescent="0.3">
      <c r="A413" t="s">
        <v>19</v>
      </c>
      <c r="B413" t="s">
        <v>221</v>
      </c>
      <c r="C413" t="s">
        <v>161</v>
      </c>
      <c r="D413" t="s">
        <v>40</v>
      </c>
      <c r="E413" t="s">
        <v>387</v>
      </c>
      <c r="F413" t="s">
        <v>384</v>
      </c>
      <c r="X413">
        <v>98738.76</v>
      </c>
      <c r="Y413">
        <v>691171.33</v>
      </c>
      <c r="Z413">
        <v>691171.33</v>
      </c>
      <c r="AA413">
        <v>296216.28000000003</v>
      </c>
    </row>
    <row r="414" spans="1:42" x14ac:dyDescent="0.3">
      <c r="A414" t="s">
        <v>19</v>
      </c>
      <c r="B414" t="s">
        <v>221</v>
      </c>
      <c r="C414" t="s">
        <v>161</v>
      </c>
      <c r="D414" t="s">
        <v>40</v>
      </c>
      <c r="E414" t="s">
        <v>387</v>
      </c>
      <c r="F414" t="s">
        <v>385</v>
      </c>
      <c r="X414">
        <v>71091.91</v>
      </c>
      <c r="Y414">
        <v>497643.36</v>
      </c>
      <c r="Z414">
        <v>497643.36</v>
      </c>
      <c r="AA414">
        <v>497643.36</v>
      </c>
      <c r="AB414">
        <v>213275.72</v>
      </c>
    </row>
    <row r="415" spans="1:42" x14ac:dyDescent="0.3">
      <c r="A415" t="s">
        <v>19</v>
      </c>
      <c r="B415" t="s">
        <v>221</v>
      </c>
      <c r="C415" t="s">
        <v>161</v>
      </c>
      <c r="D415" t="s">
        <v>40</v>
      </c>
      <c r="E415" t="s">
        <v>387</v>
      </c>
      <c r="F415" t="s">
        <v>386</v>
      </c>
    </row>
    <row r="416" spans="1:42" x14ac:dyDescent="0.3">
      <c r="A416" t="s">
        <v>19</v>
      </c>
      <c r="B416" t="s">
        <v>223</v>
      </c>
      <c r="C416" t="s">
        <v>161</v>
      </c>
      <c r="D416" t="s">
        <v>40</v>
      </c>
      <c r="E416" t="s">
        <v>387</v>
      </c>
      <c r="F416" t="s">
        <v>384</v>
      </c>
      <c r="AM416">
        <v>321135.27</v>
      </c>
      <c r="AN416">
        <v>749315.64</v>
      </c>
      <c r="AO416">
        <v>749315.64</v>
      </c>
      <c r="AP416">
        <v>535225.44999999995</v>
      </c>
    </row>
    <row r="417" spans="1:47" x14ac:dyDescent="0.3">
      <c r="A417" t="s">
        <v>19</v>
      </c>
      <c r="B417" t="s">
        <v>223</v>
      </c>
      <c r="C417" t="s">
        <v>161</v>
      </c>
      <c r="D417" t="s">
        <v>40</v>
      </c>
      <c r="E417" t="s">
        <v>387</v>
      </c>
      <c r="F417" t="s">
        <v>385</v>
      </c>
      <c r="AM417">
        <v>470998.4</v>
      </c>
      <c r="AN417">
        <v>1098996.27</v>
      </c>
      <c r="AO417">
        <v>784997.33</v>
      </c>
    </row>
    <row r="418" spans="1:47" x14ac:dyDescent="0.3">
      <c r="A418" t="s">
        <v>19</v>
      </c>
      <c r="B418" t="s">
        <v>223</v>
      </c>
      <c r="C418" t="s">
        <v>161</v>
      </c>
      <c r="D418" t="s">
        <v>40</v>
      </c>
      <c r="E418" t="s">
        <v>387</v>
      </c>
      <c r="F418" t="s">
        <v>386</v>
      </c>
    </row>
    <row r="419" spans="1:47" x14ac:dyDescent="0.3">
      <c r="A419" t="s">
        <v>19</v>
      </c>
      <c r="B419" t="s">
        <v>225</v>
      </c>
      <c r="C419" t="s">
        <v>161</v>
      </c>
      <c r="D419" t="s">
        <v>40</v>
      </c>
      <c r="E419" t="s">
        <v>387</v>
      </c>
      <c r="F419" t="s">
        <v>384</v>
      </c>
      <c r="AO419">
        <v>73094.240000000005</v>
      </c>
      <c r="AP419">
        <v>255829.85</v>
      </c>
      <c r="AQ419">
        <v>255829.85</v>
      </c>
      <c r="AR419">
        <v>109641.36</v>
      </c>
    </row>
    <row r="420" spans="1:47" x14ac:dyDescent="0.3">
      <c r="A420" t="s">
        <v>19</v>
      </c>
      <c r="B420" t="s">
        <v>225</v>
      </c>
      <c r="C420" t="s">
        <v>161</v>
      </c>
      <c r="D420" t="s">
        <v>40</v>
      </c>
      <c r="E420" t="s">
        <v>387</v>
      </c>
      <c r="F420" t="s">
        <v>385</v>
      </c>
      <c r="AO420">
        <v>73094.240000000005</v>
      </c>
      <c r="AP420">
        <v>255829.85</v>
      </c>
      <c r="AQ420">
        <v>255829.85</v>
      </c>
      <c r="AR420">
        <v>109641.36</v>
      </c>
    </row>
    <row r="421" spans="1:47" x14ac:dyDescent="0.3">
      <c r="A421" t="s">
        <v>19</v>
      </c>
      <c r="B421" t="s">
        <v>225</v>
      </c>
      <c r="C421" t="s">
        <v>161</v>
      </c>
      <c r="D421" t="s">
        <v>40</v>
      </c>
      <c r="E421" t="s">
        <v>387</v>
      </c>
      <c r="F421" t="s">
        <v>386</v>
      </c>
    </row>
    <row r="422" spans="1:47" x14ac:dyDescent="0.3">
      <c r="A422" t="s">
        <v>19</v>
      </c>
      <c r="B422" t="s">
        <v>229</v>
      </c>
      <c r="C422" t="s">
        <v>161</v>
      </c>
      <c r="D422" t="s">
        <v>45</v>
      </c>
      <c r="E422" t="s">
        <v>387</v>
      </c>
      <c r="F422" t="s">
        <v>384</v>
      </c>
      <c r="AI422">
        <v>1349110.85</v>
      </c>
      <c r="AJ422">
        <v>1888755.19</v>
      </c>
      <c r="AK422">
        <v>1888755.19</v>
      </c>
      <c r="AL422">
        <v>1888755.19</v>
      </c>
      <c r="AM422">
        <v>1079288.68</v>
      </c>
    </row>
    <row r="423" spans="1:47" x14ac:dyDescent="0.3">
      <c r="A423" t="s">
        <v>19</v>
      </c>
      <c r="B423" t="s">
        <v>229</v>
      </c>
      <c r="C423" t="s">
        <v>161</v>
      </c>
      <c r="D423" t="s">
        <v>45</v>
      </c>
      <c r="E423" t="s">
        <v>387</v>
      </c>
      <c r="F423" t="s">
        <v>385</v>
      </c>
      <c r="AI423">
        <v>1349110.85</v>
      </c>
      <c r="AJ423">
        <v>1888755.19</v>
      </c>
      <c r="AK423">
        <v>1888755.19</v>
      </c>
      <c r="AL423">
        <v>1888755.19</v>
      </c>
      <c r="AM423">
        <v>1079288.68</v>
      </c>
    </row>
    <row r="424" spans="1:47" x14ac:dyDescent="0.3">
      <c r="A424" t="s">
        <v>19</v>
      </c>
      <c r="B424" t="s">
        <v>229</v>
      </c>
      <c r="C424" t="s">
        <v>161</v>
      </c>
      <c r="D424" t="s">
        <v>45</v>
      </c>
      <c r="E424" t="s">
        <v>387</v>
      </c>
      <c r="F424" t="s">
        <v>386</v>
      </c>
    </row>
    <row r="425" spans="1:47" x14ac:dyDescent="0.3">
      <c r="A425" t="s">
        <v>19</v>
      </c>
      <c r="B425" t="s">
        <v>232</v>
      </c>
      <c r="C425" t="s">
        <v>161</v>
      </c>
      <c r="D425" t="s">
        <v>31</v>
      </c>
      <c r="E425" t="s">
        <v>387</v>
      </c>
      <c r="F425" t="s">
        <v>384</v>
      </c>
      <c r="AR425">
        <v>1090130.6200000001</v>
      </c>
      <c r="AS425">
        <v>1907728.58</v>
      </c>
      <c r="AT425">
        <v>1907728.58</v>
      </c>
      <c r="AU425">
        <v>1090130.6200000001</v>
      </c>
    </row>
    <row r="426" spans="1:47" x14ac:dyDescent="0.3">
      <c r="A426" t="s">
        <v>19</v>
      </c>
      <c r="B426" t="s">
        <v>232</v>
      </c>
      <c r="C426" t="s">
        <v>161</v>
      </c>
      <c r="D426" t="s">
        <v>31</v>
      </c>
      <c r="E426" t="s">
        <v>387</v>
      </c>
      <c r="F426" t="s">
        <v>385</v>
      </c>
      <c r="AR426">
        <v>1090130.6200000001</v>
      </c>
      <c r="AS426">
        <v>1907728.58</v>
      </c>
      <c r="AT426">
        <v>1907728.58</v>
      </c>
      <c r="AU426">
        <v>1090130.6200000001</v>
      </c>
    </row>
    <row r="427" spans="1:47" x14ac:dyDescent="0.3">
      <c r="A427" t="s">
        <v>19</v>
      </c>
      <c r="B427" t="s">
        <v>232</v>
      </c>
      <c r="C427" t="s">
        <v>161</v>
      </c>
      <c r="D427" t="s">
        <v>31</v>
      </c>
      <c r="E427" t="s">
        <v>387</v>
      </c>
      <c r="F427" t="s">
        <v>386</v>
      </c>
    </row>
    <row r="428" spans="1:47" x14ac:dyDescent="0.3">
      <c r="A428" t="s">
        <v>19</v>
      </c>
      <c r="B428" t="s">
        <v>235</v>
      </c>
      <c r="C428" t="s">
        <v>161</v>
      </c>
      <c r="D428" t="s">
        <v>61</v>
      </c>
      <c r="E428" t="s">
        <v>387</v>
      </c>
      <c r="F428" t="s">
        <v>384</v>
      </c>
      <c r="AQ428">
        <v>45361.87</v>
      </c>
      <c r="AR428">
        <v>22680.93</v>
      </c>
    </row>
    <row r="429" spans="1:47" x14ac:dyDescent="0.3">
      <c r="A429" t="s">
        <v>19</v>
      </c>
      <c r="B429" t="s">
        <v>235</v>
      </c>
      <c r="C429" t="s">
        <v>161</v>
      </c>
      <c r="D429" t="s">
        <v>61</v>
      </c>
      <c r="E429" t="s">
        <v>387</v>
      </c>
      <c r="F429" t="s">
        <v>385</v>
      </c>
      <c r="AQ429">
        <v>45361.87</v>
      </c>
      <c r="AR429">
        <v>22680.93</v>
      </c>
    </row>
    <row r="430" spans="1:47" x14ac:dyDescent="0.3">
      <c r="A430" t="s">
        <v>19</v>
      </c>
      <c r="B430" t="s">
        <v>235</v>
      </c>
      <c r="C430" t="s">
        <v>161</v>
      </c>
      <c r="D430" t="s">
        <v>61</v>
      </c>
      <c r="E430" t="s">
        <v>387</v>
      </c>
      <c r="F430" t="s">
        <v>386</v>
      </c>
    </row>
    <row r="431" spans="1:47" x14ac:dyDescent="0.3">
      <c r="A431" t="s">
        <v>19</v>
      </c>
      <c r="B431" t="s">
        <v>240</v>
      </c>
      <c r="C431" t="s">
        <v>161</v>
      </c>
      <c r="D431" t="s">
        <v>64</v>
      </c>
      <c r="E431" t="s">
        <v>387</v>
      </c>
      <c r="F431" t="s">
        <v>384</v>
      </c>
      <c r="AR431">
        <v>18316.16</v>
      </c>
      <c r="AS431">
        <v>27474.240000000002</v>
      </c>
    </row>
    <row r="432" spans="1:47" x14ac:dyDescent="0.3">
      <c r="A432" t="s">
        <v>19</v>
      </c>
      <c r="B432" t="s">
        <v>240</v>
      </c>
      <c r="C432" t="s">
        <v>161</v>
      </c>
      <c r="D432" t="s">
        <v>64</v>
      </c>
      <c r="E432" t="s">
        <v>387</v>
      </c>
      <c r="F432" t="s">
        <v>385</v>
      </c>
      <c r="AR432">
        <v>18316.16</v>
      </c>
      <c r="AS432">
        <v>27474.240000000002</v>
      </c>
    </row>
    <row r="433" spans="1:54" x14ac:dyDescent="0.3">
      <c r="A433" t="s">
        <v>19</v>
      </c>
      <c r="B433" t="s">
        <v>240</v>
      </c>
      <c r="C433" t="s">
        <v>161</v>
      </c>
      <c r="D433" t="s">
        <v>64</v>
      </c>
      <c r="E433" t="s">
        <v>387</v>
      </c>
      <c r="F433" t="s">
        <v>386</v>
      </c>
    </row>
    <row r="434" spans="1:54" x14ac:dyDescent="0.3">
      <c r="A434" t="s">
        <v>19</v>
      </c>
      <c r="B434" t="s">
        <v>242</v>
      </c>
      <c r="C434" t="s">
        <v>161</v>
      </c>
      <c r="D434" t="s">
        <v>35</v>
      </c>
      <c r="E434" t="s">
        <v>387</v>
      </c>
      <c r="F434" t="s">
        <v>384</v>
      </c>
      <c r="AX434">
        <v>197259.29</v>
      </c>
      <c r="AY434">
        <v>345203.75</v>
      </c>
      <c r="AZ434">
        <v>345203.75</v>
      </c>
      <c r="BA434">
        <v>345203.75</v>
      </c>
      <c r="BB434">
        <v>147944.46</v>
      </c>
    </row>
    <row r="435" spans="1:54" x14ac:dyDescent="0.3">
      <c r="A435" t="s">
        <v>19</v>
      </c>
      <c r="B435" t="s">
        <v>242</v>
      </c>
      <c r="C435" t="s">
        <v>161</v>
      </c>
      <c r="D435" t="s">
        <v>35</v>
      </c>
      <c r="E435" t="s">
        <v>387</v>
      </c>
      <c r="F435" t="s">
        <v>385</v>
      </c>
    </row>
    <row r="436" spans="1:54" x14ac:dyDescent="0.3">
      <c r="A436" t="s">
        <v>19</v>
      </c>
      <c r="B436" t="s">
        <v>242</v>
      </c>
      <c r="C436" t="s">
        <v>161</v>
      </c>
      <c r="D436" t="s">
        <v>35</v>
      </c>
      <c r="E436" t="s">
        <v>387</v>
      </c>
      <c r="F436" t="s">
        <v>386</v>
      </c>
      <c r="AX436">
        <v>197259.29</v>
      </c>
      <c r="AY436">
        <v>345203.75</v>
      </c>
      <c r="AZ436">
        <v>345203.75</v>
      </c>
      <c r="BA436">
        <v>345203.75</v>
      </c>
      <c r="BB436">
        <v>147944.46</v>
      </c>
    </row>
    <row r="437" spans="1:54" x14ac:dyDescent="0.3">
      <c r="A437" t="s">
        <v>19</v>
      </c>
      <c r="B437" t="s">
        <v>245</v>
      </c>
      <c r="C437" t="s">
        <v>161</v>
      </c>
      <c r="D437" t="s">
        <v>40</v>
      </c>
      <c r="E437" t="s">
        <v>387</v>
      </c>
      <c r="F437" t="s">
        <v>384</v>
      </c>
      <c r="P437">
        <v>317437.86</v>
      </c>
      <c r="Q437">
        <v>317437.86</v>
      </c>
      <c r="R437">
        <v>272089.59000000003</v>
      </c>
    </row>
    <row r="438" spans="1:54" x14ac:dyDescent="0.3">
      <c r="A438" t="s">
        <v>19</v>
      </c>
      <c r="B438" t="s">
        <v>245</v>
      </c>
      <c r="C438" t="s">
        <v>161</v>
      </c>
      <c r="D438" t="s">
        <v>40</v>
      </c>
      <c r="E438" t="s">
        <v>387</v>
      </c>
      <c r="F438" t="s">
        <v>385</v>
      </c>
      <c r="P438">
        <v>317437.86</v>
      </c>
      <c r="Q438">
        <v>317437.86</v>
      </c>
      <c r="R438">
        <v>272089.59000000003</v>
      </c>
    </row>
    <row r="439" spans="1:54" x14ac:dyDescent="0.3">
      <c r="A439" t="s">
        <v>19</v>
      </c>
      <c r="B439" t="s">
        <v>245</v>
      </c>
      <c r="C439" t="s">
        <v>161</v>
      </c>
      <c r="D439" t="s">
        <v>40</v>
      </c>
      <c r="E439" t="s">
        <v>387</v>
      </c>
      <c r="F439" t="s">
        <v>386</v>
      </c>
    </row>
    <row r="440" spans="1:54" x14ac:dyDescent="0.3">
      <c r="A440" t="s">
        <v>19</v>
      </c>
      <c r="B440" t="s">
        <v>248</v>
      </c>
      <c r="C440" t="s">
        <v>161</v>
      </c>
      <c r="D440" t="s">
        <v>40</v>
      </c>
      <c r="E440" t="s">
        <v>387</v>
      </c>
      <c r="F440" t="s">
        <v>384</v>
      </c>
      <c r="AD440">
        <v>82193.73</v>
      </c>
      <c r="AE440">
        <v>493162.38</v>
      </c>
      <c r="AG440">
        <v>82193.73</v>
      </c>
      <c r="AH440">
        <v>164387.46</v>
      </c>
    </row>
    <row r="441" spans="1:54" x14ac:dyDescent="0.3">
      <c r="A441" t="s">
        <v>19</v>
      </c>
      <c r="B441" t="s">
        <v>248</v>
      </c>
      <c r="C441" t="s">
        <v>161</v>
      </c>
      <c r="D441" t="s">
        <v>40</v>
      </c>
      <c r="E441" t="s">
        <v>387</v>
      </c>
      <c r="F441" t="s">
        <v>385</v>
      </c>
      <c r="AD441">
        <v>117419.61</v>
      </c>
      <c r="AE441">
        <v>704517.69</v>
      </c>
    </row>
    <row r="442" spans="1:54" x14ac:dyDescent="0.3">
      <c r="A442" t="s">
        <v>19</v>
      </c>
      <c r="B442" t="s">
        <v>248</v>
      </c>
      <c r="C442" t="s">
        <v>161</v>
      </c>
      <c r="D442" t="s">
        <v>40</v>
      </c>
      <c r="E442" t="s">
        <v>387</v>
      </c>
      <c r="F442" t="s">
        <v>386</v>
      </c>
    </row>
    <row r="443" spans="1:54" x14ac:dyDescent="0.3">
      <c r="A443" t="s">
        <v>19</v>
      </c>
      <c r="B443" t="s">
        <v>250</v>
      </c>
      <c r="C443" t="s">
        <v>161</v>
      </c>
      <c r="D443" t="s">
        <v>40</v>
      </c>
      <c r="E443" t="s">
        <v>387</v>
      </c>
      <c r="F443" t="s">
        <v>384</v>
      </c>
      <c r="R443">
        <v>8502.7999999999993</v>
      </c>
      <c r="S443">
        <v>59519.6</v>
      </c>
      <c r="T443">
        <v>59519.6</v>
      </c>
      <c r="U443">
        <v>8502.7999999999993</v>
      </c>
    </row>
    <row r="444" spans="1:54" x14ac:dyDescent="0.3">
      <c r="A444" t="s">
        <v>19</v>
      </c>
      <c r="B444" t="s">
        <v>250</v>
      </c>
      <c r="C444" t="s">
        <v>161</v>
      </c>
      <c r="D444" t="s">
        <v>40</v>
      </c>
      <c r="E444" t="s">
        <v>387</v>
      </c>
      <c r="F444" t="s">
        <v>385</v>
      </c>
      <c r="R444">
        <v>8502.7999999999993</v>
      </c>
      <c r="S444">
        <v>59519.6</v>
      </c>
      <c r="T444">
        <v>59519.6</v>
      </c>
      <c r="U444">
        <v>8502.7999999999993</v>
      </c>
    </row>
    <row r="445" spans="1:54" x14ac:dyDescent="0.3">
      <c r="A445" t="s">
        <v>19</v>
      </c>
      <c r="B445" t="s">
        <v>250</v>
      </c>
      <c r="C445" t="s">
        <v>161</v>
      </c>
      <c r="D445" t="s">
        <v>40</v>
      </c>
      <c r="E445" t="s">
        <v>387</v>
      </c>
      <c r="F445" t="s">
        <v>386</v>
      </c>
    </row>
    <row r="446" spans="1:54" x14ac:dyDescent="0.3">
      <c r="A446" t="s">
        <v>19</v>
      </c>
      <c r="B446" t="s">
        <v>252</v>
      </c>
      <c r="C446" t="s">
        <v>161</v>
      </c>
      <c r="D446" t="s">
        <v>40</v>
      </c>
      <c r="E446" t="s">
        <v>387</v>
      </c>
      <c r="F446" t="s">
        <v>384</v>
      </c>
      <c r="X446">
        <v>67313.83</v>
      </c>
      <c r="Y446">
        <v>471196.8</v>
      </c>
      <c r="Z446">
        <v>471196.8</v>
      </c>
      <c r="AA446">
        <v>471196.8</v>
      </c>
      <c r="AB446">
        <v>134627.66</v>
      </c>
    </row>
    <row r="447" spans="1:54" x14ac:dyDescent="0.3">
      <c r="A447" t="s">
        <v>19</v>
      </c>
      <c r="B447" t="s">
        <v>252</v>
      </c>
      <c r="C447" t="s">
        <v>161</v>
      </c>
      <c r="D447" t="s">
        <v>40</v>
      </c>
      <c r="E447" t="s">
        <v>387</v>
      </c>
      <c r="F447" t="s">
        <v>385</v>
      </c>
      <c r="X447">
        <v>67313.83</v>
      </c>
      <c r="Y447">
        <v>471196.8</v>
      </c>
      <c r="Z447">
        <v>471196.8</v>
      </c>
      <c r="AA447">
        <v>471196.8</v>
      </c>
      <c r="AB447">
        <v>134627.66</v>
      </c>
    </row>
    <row r="448" spans="1:54" x14ac:dyDescent="0.3">
      <c r="A448" t="s">
        <v>19</v>
      </c>
      <c r="B448" t="s">
        <v>252</v>
      </c>
      <c r="C448" t="s">
        <v>161</v>
      </c>
      <c r="D448" t="s">
        <v>40</v>
      </c>
      <c r="E448" t="s">
        <v>387</v>
      </c>
      <c r="F448" t="s">
        <v>386</v>
      </c>
    </row>
    <row r="449" spans="1:55" x14ac:dyDescent="0.3">
      <c r="A449" t="s">
        <v>19</v>
      </c>
      <c r="B449" t="s">
        <v>254</v>
      </c>
      <c r="C449" t="s">
        <v>161</v>
      </c>
      <c r="D449" t="s">
        <v>40</v>
      </c>
      <c r="E449" t="s">
        <v>387</v>
      </c>
      <c r="F449" t="s">
        <v>384</v>
      </c>
      <c r="AB449">
        <v>493693.81</v>
      </c>
      <c r="AC449">
        <v>691171.33</v>
      </c>
      <c r="AD449">
        <v>592432.56999999995</v>
      </c>
    </row>
    <row r="450" spans="1:55" x14ac:dyDescent="0.3">
      <c r="A450" t="s">
        <v>19</v>
      </c>
      <c r="B450" t="s">
        <v>254</v>
      </c>
      <c r="C450" t="s">
        <v>161</v>
      </c>
      <c r="D450" t="s">
        <v>40</v>
      </c>
      <c r="E450" t="s">
        <v>387</v>
      </c>
      <c r="F450" t="s">
        <v>385</v>
      </c>
      <c r="AB450">
        <v>418187.69</v>
      </c>
      <c r="AC450">
        <v>731828.46</v>
      </c>
      <c r="AD450">
        <v>627281.54</v>
      </c>
    </row>
    <row r="451" spans="1:55" x14ac:dyDescent="0.3">
      <c r="A451" t="s">
        <v>19</v>
      </c>
      <c r="B451" t="s">
        <v>254</v>
      </c>
      <c r="C451" t="s">
        <v>161</v>
      </c>
      <c r="D451" t="s">
        <v>40</v>
      </c>
      <c r="E451" t="s">
        <v>387</v>
      </c>
      <c r="F451" t="s">
        <v>386</v>
      </c>
    </row>
    <row r="452" spans="1:55" x14ac:dyDescent="0.3">
      <c r="A452" t="s">
        <v>19</v>
      </c>
      <c r="B452" t="s">
        <v>256</v>
      </c>
      <c r="C452" t="s">
        <v>161</v>
      </c>
      <c r="D452" t="s">
        <v>40</v>
      </c>
      <c r="E452" t="s">
        <v>387</v>
      </c>
      <c r="F452" t="s">
        <v>384</v>
      </c>
      <c r="AS452">
        <v>535225.44999999995</v>
      </c>
      <c r="AT452">
        <v>749315.64</v>
      </c>
      <c r="AU452">
        <v>749315.64</v>
      </c>
      <c r="AV452">
        <v>321135.27</v>
      </c>
    </row>
    <row r="453" spans="1:55" x14ac:dyDescent="0.3">
      <c r="A453" t="s">
        <v>19</v>
      </c>
      <c r="B453" t="s">
        <v>256</v>
      </c>
      <c r="C453" t="s">
        <v>161</v>
      </c>
      <c r="D453" t="s">
        <v>40</v>
      </c>
      <c r="E453" t="s">
        <v>387</v>
      </c>
      <c r="F453" t="s">
        <v>385</v>
      </c>
      <c r="AS453">
        <v>535225.44999999995</v>
      </c>
      <c r="AT453">
        <v>749315.64</v>
      </c>
      <c r="AU453">
        <v>749315.64</v>
      </c>
      <c r="AV453">
        <v>321135.27</v>
      </c>
    </row>
    <row r="454" spans="1:55" x14ac:dyDescent="0.3">
      <c r="A454" t="s">
        <v>19</v>
      </c>
      <c r="B454" t="s">
        <v>256</v>
      </c>
      <c r="C454" t="s">
        <v>161</v>
      </c>
      <c r="D454" t="s">
        <v>40</v>
      </c>
      <c r="E454" t="s">
        <v>387</v>
      </c>
      <c r="F454" t="s">
        <v>386</v>
      </c>
    </row>
    <row r="455" spans="1:55" x14ac:dyDescent="0.3">
      <c r="A455" t="s">
        <v>19</v>
      </c>
      <c r="B455" t="s">
        <v>260</v>
      </c>
      <c r="C455" t="s">
        <v>161</v>
      </c>
      <c r="D455" t="s">
        <v>40</v>
      </c>
      <c r="E455" t="s">
        <v>387</v>
      </c>
      <c r="F455" t="s">
        <v>384</v>
      </c>
      <c r="AV455">
        <v>146188.48000000001</v>
      </c>
      <c r="AW455">
        <v>255829.85</v>
      </c>
      <c r="AX455">
        <v>255829.85</v>
      </c>
      <c r="AY455">
        <v>36547.120000000003</v>
      </c>
    </row>
    <row r="456" spans="1:55" x14ac:dyDescent="0.3">
      <c r="A456" t="s">
        <v>19</v>
      </c>
      <c r="B456" t="s">
        <v>260</v>
      </c>
      <c r="C456" t="s">
        <v>161</v>
      </c>
      <c r="D456" t="s">
        <v>40</v>
      </c>
      <c r="E456" t="s">
        <v>387</v>
      </c>
      <c r="F456" t="s">
        <v>385</v>
      </c>
      <c r="AV456">
        <v>73094.240000000005</v>
      </c>
      <c r="AW456">
        <v>127914.92</v>
      </c>
      <c r="AX456">
        <v>54820.68</v>
      </c>
    </row>
    <row r="457" spans="1:55" x14ac:dyDescent="0.3">
      <c r="A457" t="s">
        <v>19</v>
      </c>
      <c r="B457" t="s">
        <v>260</v>
      </c>
      <c r="C457" t="s">
        <v>161</v>
      </c>
      <c r="D457" t="s">
        <v>40</v>
      </c>
      <c r="E457" t="s">
        <v>387</v>
      </c>
      <c r="F457" t="s">
        <v>386</v>
      </c>
      <c r="AX457">
        <v>438565.45</v>
      </c>
    </row>
    <row r="458" spans="1:55" x14ac:dyDescent="0.3">
      <c r="A458" t="s">
        <v>19</v>
      </c>
      <c r="B458" t="s">
        <v>262</v>
      </c>
      <c r="C458" t="s">
        <v>161</v>
      </c>
      <c r="D458" t="s">
        <v>45</v>
      </c>
      <c r="E458" t="s">
        <v>387</v>
      </c>
      <c r="F458" t="s">
        <v>384</v>
      </c>
      <c r="AM458">
        <v>809466.51</v>
      </c>
      <c r="AN458">
        <v>1888755.19</v>
      </c>
      <c r="AO458">
        <v>1888755.19</v>
      </c>
      <c r="AP458">
        <v>1888755.19</v>
      </c>
      <c r="AQ458">
        <v>1618933.02</v>
      </c>
    </row>
    <row r="459" spans="1:55" x14ac:dyDescent="0.3">
      <c r="A459" t="s">
        <v>19</v>
      </c>
      <c r="B459" t="s">
        <v>262</v>
      </c>
      <c r="C459" t="s">
        <v>161</v>
      </c>
      <c r="D459" t="s">
        <v>45</v>
      </c>
      <c r="E459" t="s">
        <v>387</v>
      </c>
      <c r="F459" t="s">
        <v>385</v>
      </c>
      <c r="AO459">
        <v>1888755.19</v>
      </c>
      <c r="AP459">
        <v>1888755.19</v>
      </c>
      <c r="AQ459">
        <v>1888755.19</v>
      </c>
      <c r="AR459">
        <v>1888755.19</v>
      </c>
      <c r="AS459">
        <v>539644.34</v>
      </c>
    </row>
    <row r="460" spans="1:55" x14ac:dyDescent="0.3">
      <c r="A460" t="s">
        <v>19</v>
      </c>
      <c r="B460" t="s">
        <v>262</v>
      </c>
      <c r="C460" t="s">
        <v>161</v>
      </c>
      <c r="D460" t="s">
        <v>45</v>
      </c>
      <c r="E460" t="s">
        <v>387</v>
      </c>
      <c r="F460" t="s">
        <v>386</v>
      </c>
    </row>
    <row r="461" spans="1:55" x14ac:dyDescent="0.3">
      <c r="A461" t="s">
        <v>19</v>
      </c>
      <c r="B461" t="s">
        <v>267</v>
      </c>
      <c r="C461" t="s">
        <v>161</v>
      </c>
      <c r="D461" t="s">
        <v>31</v>
      </c>
      <c r="E461" t="s">
        <v>387</v>
      </c>
      <c r="F461" t="s">
        <v>384</v>
      </c>
      <c r="AZ461">
        <v>1635195.93</v>
      </c>
      <c r="BA461">
        <v>1907728.58</v>
      </c>
      <c r="BB461">
        <v>1907728.58</v>
      </c>
      <c r="BC461">
        <v>545065.31000000006</v>
      </c>
    </row>
    <row r="462" spans="1:55" x14ac:dyDescent="0.3">
      <c r="A462" t="s">
        <v>19</v>
      </c>
      <c r="B462" t="s">
        <v>267</v>
      </c>
      <c r="C462" t="s">
        <v>161</v>
      </c>
      <c r="D462" t="s">
        <v>31</v>
      </c>
      <c r="E462" t="s">
        <v>387</v>
      </c>
      <c r="F462" t="s">
        <v>385</v>
      </c>
    </row>
    <row r="463" spans="1:55" x14ac:dyDescent="0.3">
      <c r="A463" t="s">
        <v>19</v>
      </c>
      <c r="B463" t="s">
        <v>267</v>
      </c>
      <c r="C463" t="s">
        <v>161</v>
      </c>
      <c r="D463" t="s">
        <v>31</v>
      </c>
      <c r="E463" t="s">
        <v>387</v>
      </c>
      <c r="F463" t="s">
        <v>386</v>
      </c>
      <c r="AZ463">
        <v>1635195.93</v>
      </c>
      <c r="BA463">
        <v>1907728.58</v>
      </c>
      <c r="BB463">
        <v>1907728.58</v>
      </c>
      <c r="BC463">
        <v>545065.31000000006</v>
      </c>
    </row>
    <row r="464" spans="1:55" x14ac:dyDescent="0.3">
      <c r="A464" t="s">
        <v>19</v>
      </c>
      <c r="B464" t="s">
        <v>270</v>
      </c>
      <c r="C464" t="s">
        <v>161</v>
      </c>
      <c r="D464" t="s">
        <v>61</v>
      </c>
      <c r="E464" t="s">
        <v>387</v>
      </c>
      <c r="F464" t="s">
        <v>384</v>
      </c>
      <c r="AX464">
        <v>7560.31</v>
      </c>
      <c r="AY464">
        <v>52922.18</v>
      </c>
      <c r="AZ464">
        <v>7560.31</v>
      </c>
    </row>
    <row r="465" spans="1:59" x14ac:dyDescent="0.3">
      <c r="A465" t="s">
        <v>19</v>
      </c>
      <c r="B465" t="s">
        <v>270</v>
      </c>
      <c r="C465" t="s">
        <v>161</v>
      </c>
      <c r="D465" t="s">
        <v>61</v>
      </c>
      <c r="E465" t="s">
        <v>387</v>
      </c>
      <c r="F465" t="s">
        <v>385</v>
      </c>
    </row>
    <row r="466" spans="1:59" x14ac:dyDescent="0.3">
      <c r="A466" t="s">
        <v>19</v>
      </c>
      <c r="B466" t="s">
        <v>270</v>
      </c>
      <c r="C466" t="s">
        <v>161</v>
      </c>
      <c r="D466" t="s">
        <v>61</v>
      </c>
      <c r="E466" t="s">
        <v>387</v>
      </c>
      <c r="F466" t="s">
        <v>386</v>
      </c>
      <c r="AX466">
        <v>7560.31</v>
      </c>
      <c r="AY466">
        <v>52922.18</v>
      </c>
      <c r="AZ466">
        <v>7560.31</v>
      </c>
    </row>
    <row r="467" spans="1:59" x14ac:dyDescent="0.3">
      <c r="A467" t="s">
        <v>19</v>
      </c>
      <c r="B467" t="s">
        <v>273</v>
      </c>
      <c r="C467" t="s">
        <v>161</v>
      </c>
      <c r="D467" t="s">
        <v>64</v>
      </c>
      <c r="E467" t="s">
        <v>387</v>
      </c>
      <c r="F467" t="s">
        <v>384</v>
      </c>
      <c r="AZ467">
        <v>27474.240000000002</v>
      </c>
      <c r="BA467">
        <v>18316.16</v>
      </c>
    </row>
    <row r="468" spans="1:59" x14ac:dyDescent="0.3">
      <c r="A468" t="s">
        <v>19</v>
      </c>
      <c r="B468" t="s">
        <v>273</v>
      </c>
      <c r="C468" t="s">
        <v>161</v>
      </c>
      <c r="D468" t="s">
        <v>64</v>
      </c>
      <c r="E468" t="s">
        <v>387</v>
      </c>
      <c r="F468" t="s">
        <v>385</v>
      </c>
    </row>
    <row r="469" spans="1:59" x14ac:dyDescent="0.3">
      <c r="A469" t="s">
        <v>19</v>
      </c>
      <c r="B469" t="s">
        <v>273</v>
      </c>
      <c r="C469" t="s">
        <v>161</v>
      </c>
      <c r="D469" t="s">
        <v>64</v>
      </c>
      <c r="E469" t="s">
        <v>387</v>
      </c>
      <c r="F469" t="s">
        <v>386</v>
      </c>
      <c r="AZ469">
        <v>27474.240000000002</v>
      </c>
      <c r="BA469">
        <v>18316.16</v>
      </c>
    </row>
    <row r="470" spans="1:59" x14ac:dyDescent="0.3">
      <c r="A470" t="s">
        <v>19</v>
      </c>
      <c r="B470" t="s">
        <v>275</v>
      </c>
      <c r="C470" t="s">
        <v>161</v>
      </c>
      <c r="D470" t="s">
        <v>35</v>
      </c>
      <c r="E470" t="s">
        <v>387</v>
      </c>
      <c r="F470" t="s">
        <v>384</v>
      </c>
      <c r="BC470">
        <v>246574.11</v>
      </c>
      <c r="BD470">
        <v>345203.75</v>
      </c>
      <c r="BE470">
        <v>345203.75</v>
      </c>
      <c r="BF470">
        <v>345203.75</v>
      </c>
      <c r="BG470">
        <v>98629.64</v>
      </c>
    </row>
    <row r="471" spans="1:59" x14ac:dyDescent="0.3">
      <c r="A471" t="s">
        <v>19</v>
      </c>
      <c r="B471" t="s">
        <v>275</v>
      </c>
      <c r="C471" t="s">
        <v>161</v>
      </c>
      <c r="D471" t="s">
        <v>35</v>
      </c>
      <c r="E471" t="s">
        <v>387</v>
      </c>
      <c r="F471" t="s">
        <v>385</v>
      </c>
    </row>
    <row r="472" spans="1:59" x14ac:dyDescent="0.3">
      <c r="A472" t="s">
        <v>19</v>
      </c>
      <c r="B472" t="s">
        <v>275</v>
      </c>
      <c r="C472" t="s">
        <v>161</v>
      </c>
      <c r="D472" t="s">
        <v>35</v>
      </c>
      <c r="E472" t="s">
        <v>387</v>
      </c>
      <c r="F472" t="s">
        <v>386</v>
      </c>
      <c r="BC472">
        <v>246574.11</v>
      </c>
      <c r="BD472">
        <v>345203.75</v>
      </c>
      <c r="BE472">
        <v>345203.75</v>
      </c>
      <c r="BF472">
        <v>345203.75</v>
      </c>
      <c r="BG472">
        <v>98629.64</v>
      </c>
    </row>
    <row r="473" spans="1:59" x14ac:dyDescent="0.3">
      <c r="A473" t="s">
        <v>19</v>
      </c>
      <c r="B473" t="s">
        <v>278</v>
      </c>
      <c r="C473" t="s">
        <v>161</v>
      </c>
      <c r="D473" t="s">
        <v>40</v>
      </c>
      <c r="E473" t="s">
        <v>387</v>
      </c>
      <c r="F473" t="s">
        <v>384</v>
      </c>
      <c r="R473">
        <v>45348.27</v>
      </c>
      <c r="S473">
        <v>317437.86</v>
      </c>
      <c r="T473">
        <v>317437.86</v>
      </c>
      <c r="U473">
        <v>226741.33</v>
      </c>
    </row>
    <row r="474" spans="1:59" x14ac:dyDescent="0.3">
      <c r="A474" t="s">
        <v>19</v>
      </c>
      <c r="B474" t="s">
        <v>278</v>
      </c>
      <c r="C474" t="s">
        <v>161</v>
      </c>
      <c r="D474" t="s">
        <v>40</v>
      </c>
      <c r="E474" t="s">
        <v>387</v>
      </c>
      <c r="F474" t="s">
        <v>385</v>
      </c>
      <c r="R474">
        <v>45348.27</v>
      </c>
      <c r="S474">
        <v>317437.86</v>
      </c>
      <c r="T474">
        <v>317437.86</v>
      </c>
      <c r="U474">
        <v>226741.33</v>
      </c>
    </row>
    <row r="475" spans="1:59" x14ac:dyDescent="0.3">
      <c r="A475" t="s">
        <v>19</v>
      </c>
      <c r="B475" t="s">
        <v>278</v>
      </c>
      <c r="C475" t="s">
        <v>161</v>
      </c>
      <c r="D475" t="s">
        <v>40</v>
      </c>
      <c r="E475" t="s">
        <v>387</v>
      </c>
      <c r="F475" t="s">
        <v>386</v>
      </c>
    </row>
    <row r="476" spans="1:59" x14ac:dyDescent="0.3">
      <c r="A476" t="s">
        <v>19</v>
      </c>
      <c r="B476" t="s">
        <v>281</v>
      </c>
      <c r="C476" t="s">
        <v>161</v>
      </c>
      <c r="D476" t="s">
        <v>40</v>
      </c>
      <c r="E476" t="s">
        <v>387</v>
      </c>
      <c r="F476" t="s">
        <v>384</v>
      </c>
      <c r="AI476">
        <v>410968.65</v>
      </c>
      <c r="AJ476">
        <v>410968.65</v>
      </c>
    </row>
    <row r="477" spans="1:59" x14ac:dyDescent="0.3">
      <c r="A477" t="s">
        <v>19</v>
      </c>
      <c r="B477" t="s">
        <v>281</v>
      </c>
      <c r="C477" t="s">
        <v>161</v>
      </c>
      <c r="D477" t="s">
        <v>40</v>
      </c>
      <c r="E477" t="s">
        <v>387</v>
      </c>
      <c r="F477" t="s">
        <v>385</v>
      </c>
      <c r="AI477">
        <v>293549.03999999998</v>
      </c>
      <c r="AJ477">
        <v>410968.65</v>
      </c>
      <c r="AK477">
        <v>117419.61</v>
      </c>
    </row>
    <row r="478" spans="1:59" x14ac:dyDescent="0.3">
      <c r="A478" t="s">
        <v>19</v>
      </c>
      <c r="B478" t="s">
        <v>281</v>
      </c>
      <c r="C478" t="s">
        <v>161</v>
      </c>
      <c r="D478" t="s">
        <v>40</v>
      </c>
      <c r="E478" t="s">
        <v>387</v>
      </c>
      <c r="F478" t="s">
        <v>386</v>
      </c>
    </row>
    <row r="479" spans="1:59" x14ac:dyDescent="0.3">
      <c r="A479" t="s">
        <v>19</v>
      </c>
      <c r="B479" t="s">
        <v>283</v>
      </c>
      <c r="C479" t="s">
        <v>161</v>
      </c>
      <c r="D479" t="s">
        <v>40</v>
      </c>
      <c r="E479" t="s">
        <v>387</v>
      </c>
      <c r="F479" t="s">
        <v>384</v>
      </c>
      <c r="X479">
        <v>51016.800000000003</v>
      </c>
      <c r="Y479">
        <v>59519.6</v>
      </c>
      <c r="Z479">
        <v>25508.400000000001</v>
      </c>
    </row>
    <row r="480" spans="1:59" x14ac:dyDescent="0.3">
      <c r="A480" t="s">
        <v>19</v>
      </c>
      <c r="B480" t="s">
        <v>283</v>
      </c>
      <c r="C480" t="s">
        <v>161</v>
      </c>
      <c r="D480" t="s">
        <v>40</v>
      </c>
      <c r="E480" t="s">
        <v>387</v>
      </c>
      <c r="F480" t="s">
        <v>385</v>
      </c>
      <c r="X480">
        <v>51016.800000000003</v>
      </c>
      <c r="Y480">
        <v>59519.6</v>
      </c>
      <c r="Z480">
        <v>25508.400000000001</v>
      </c>
    </row>
    <row r="481" spans="1:56" x14ac:dyDescent="0.3">
      <c r="A481" t="s">
        <v>19</v>
      </c>
      <c r="B481" t="s">
        <v>283</v>
      </c>
      <c r="C481" t="s">
        <v>161</v>
      </c>
      <c r="D481" t="s">
        <v>40</v>
      </c>
      <c r="E481" t="s">
        <v>387</v>
      </c>
      <c r="F481" t="s">
        <v>386</v>
      </c>
    </row>
    <row r="482" spans="1:56" x14ac:dyDescent="0.3">
      <c r="A482" t="s">
        <v>19</v>
      </c>
      <c r="B482" t="s">
        <v>285</v>
      </c>
      <c r="C482" t="s">
        <v>161</v>
      </c>
      <c r="D482" t="s">
        <v>40</v>
      </c>
      <c r="E482" t="s">
        <v>387</v>
      </c>
      <c r="F482" t="s">
        <v>384</v>
      </c>
      <c r="AB482">
        <v>336569.15</v>
      </c>
      <c r="AC482">
        <v>471196.8</v>
      </c>
      <c r="AD482">
        <v>471196.8</v>
      </c>
      <c r="AE482">
        <v>336569.15</v>
      </c>
    </row>
    <row r="483" spans="1:56" x14ac:dyDescent="0.3">
      <c r="A483" t="s">
        <v>19</v>
      </c>
      <c r="B483" t="s">
        <v>285</v>
      </c>
      <c r="C483" t="s">
        <v>161</v>
      </c>
      <c r="D483" t="s">
        <v>40</v>
      </c>
      <c r="E483" t="s">
        <v>387</v>
      </c>
      <c r="F483" t="s">
        <v>385</v>
      </c>
      <c r="AB483">
        <v>336569.15</v>
      </c>
      <c r="AC483">
        <v>471196.8</v>
      </c>
      <c r="AD483">
        <v>471196.8</v>
      </c>
      <c r="AE483">
        <v>336569.15</v>
      </c>
    </row>
    <row r="484" spans="1:56" x14ac:dyDescent="0.3">
      <c r="A484" t="s">
        <v>19</v>
      </c>
      <c r="B484" t="s">
        <v>285</v>
      </c>
      <c r="C484" t="s">
        <v>161</v>
      </c>
      <c r="D484" t="s">
        <v>40</v>
      </c>
      <c r="E484" t="s">
        <v>387</v>
      </c>
      <c r="F484" t="s">
        <v>386</v>
      </c>
    </row>
    <row r="485" spans="1:56" x14ac:dyDescent="0.3">
      <c r="A485" t="s">
        <v>19</v>
      </c>
      <c r="B485" t="s">
        <v>287</v>
      </c>
      <c r="C485" t="s">
        <v>161</v>
      </c>
      <c r="D485" t="s">
        <v>40</v>
      </c>
      <c r="E485" t="s">
        <v>387</v>
      </c>
      <c r="F485" t="s">
        <v>384</v>
      </c>
      <c r="AE485">
        <v>98738.76</v>
      </c>
      <c r="AG485">
        <v>98738.76</v>
      </c>
      <c r="AH485">
        <v>691171.33</v>
      </c>
      <c r="AI485">
        <v>691171.33</v>
      </c>
      <c r="AJ485">
        <v>197477.52</v>
      </c>
    </row>
    <row r="486" spans="1:56" x14ac:dyDescent="0.3">
      <c r="A486" t="s">
        <v>19</v>
      </c>
      <c r="B486" t="s">
        <v>287</v>
      </c>
      <c r="C486" t="s">
        <v>161</v>
      </c>
      <c r="D486" t="s">
        <v>40</v>
      </c>
      <c r="E486" t="s">
        <v>387</v>
      </c>
      <c r="F486" t="s">
        <v>385</v>
      </c>
      <c r="AE486">
        <v>161572.51999999999</v>
      </c>
      <c r="AG486">
        <v>161572.51999999999</v>
      </c>
      <c r="AH486">
        <v>1131007.6299999999</v>
      </c>
      <c r="AI486">
        <v>323145.03999999998</v>
      </c>
    </row>
    <row r="487" spans="1:56" x14ac:dyDescent="0.3">
      <c r="A487" t="s">
        <v>19</v>
      </c>
      <c r="B487" t="s">
        <v>287</v>
      </c>
      <c r="C487" t="s">
        <v>161</v>
      </c>
      <c r="D487" t="s">
        <v>40</v>
      </c>
      <c r="E487" t="s">
        <v>387</v>
      </c>
      <c r="F487" t="s">
        <v>386</v>
      </c>
    </row>
    <row r="488" spans="1:56" x14ac:dyDescent="0.3">
      <c r="A488" t="s">
        <v>19</v>
      </c>
      <c r="B488" t="s">
        <v>289</v>
      </c>
      <c r="C488" t="s">
        <v>161</v>
      </c>
      <c r="D488" t="s">
        <v>40</v>
      </c>
      <c r="E488" t="s">
        <v>387</v>
      </c>
      <c r="F488" t="s">
        <v>384</v>
      </c>
      <c r="AX488">
        <v>214090.18</v>
      </c>
      <c r="AY488">
        <v>749315.64</v>
      </c>
      <c r="AZ488">
        <v>749315.64</v>
      </c>
      <c r="BA488">
        <v>642270.55000000005</v>
      </c>
    </row>
    <row r="489" spans="1:56" x14ac:dyDescent="0.3">
      <c r="A489" t="s">
        <v>19</v>
      </c>
      <c r="B489" t="s">
        <v>289</v>
      </c>
      <c r="C489" t="s">
        <v>161</v>
      </c>
      <c r="D489" t="s">
        <v>40</v>
      </c>
      <c r="E489" t="s">
        <v>387</v>
      </c>
      <c r="F489" t="s">
        <v>385</v>
      </c>
    </row>
    <row r="490" spans="1:56" x14ac:dyDescent="0.3">
      <c r="A490" t="s">
        <v>19</v>
      </c>
      <c r="B490" t="s">
        <v>289</v>
      </c>
      <c r="C490" t="s">
        <v>161</v>
      </c>
      <c r="D490" t="s">
        <v>40</v>
      </c>
      <c r="E490" t="s">
        <v>387</v>
      </c>
      <c r="F490" t="s">
        <v>386</v>
      </c>
      <c r="AX490">
        <v>214090.18</v>
      </c>
      <c r="AY490">
        <v>749315.64</v>
      </c>
      <c r="AZ490">
        <v>749315.64</v>
      </c>
      <c r="BA490">
        <v>642270.55000000005</v>
      </c>
    </row>
    <row r="491" spans="1:56" x14ac:dyDescent="0.3">
      <c r="A491" t="s">
        <v>19</v>
      </c>
      <c r="B491" t="s">
        <v>291</v>
      </c>
      <c r="C491" t="s">
        <v>161</v>
      </c>
      <c r="D491" t="s">
        <v>40</v>
      </c>
      <c r="E491" t="s">
        <v>387</v>
      </c>
      <c r="F491" t="s">
        <v>384</v>
      </c>
      <c r="BA491">
        <v>36547.120000000003</v>
      </c>
      <c r="BB491">
        <v>255829.85</v>
      </c>
      <c r="BC491">
        <v>255829.85</v>
      </c>
      <c r="BD491">
        <v>146188.48000000001</v>
      </c>
    </row>
    <row r="492" spans="1:56" x14ac:dyDescent="0.3">
      <c r="A492" t="s">
        <v>19</v>
      </c>
      <c r="B492" t="s">
        <v>291</v>
      </c>
      <c r="C492" t="s">
        <v>161</v>
      </c>
      <c r="D492" t="s">
        <v>40</v>
      </c>
      <c r="E492" t="s">
        <v>387</v>
      </c>
      <c r="F492" t="s">
        <v>385</v>
      </c>
    </row>
    <row r="493" spans="1:56" x14ac:dyDescent="0.3">
      <c r="A493" t="s">
        <v>19</v>
      </c>
      <c r="B493" t="s">
        <v>291</v>
      </c>
      <c r="C493" t="s">
        <v>161</v>
      </c>
      <c r="D493" t="s">
        <v>40</v>
      </c>
      <c r="E493" t="s">
        <v>387</v>
      </c>
      <c r="F493" t="s">
        <v>386</v>
      </c>
      <c r="BA493">
        <v>36547.120000000003</v>
      </c>
      <c r="BB493">
        <v>255829.85</v>
      </c>
      <c r="BC493">
        <v>255829.85</v>
      </c>
      <c r="BD493">
        <v>146188.48000000001</v>
      </c>
    </row>
    <row r="494" spans="1:56" x14ac:dyDescent="0.3">
      <c r="A494" t="s">
        <v>19</v>
      </c>
      <c r="B494" t="s">
        <v>293</v>
      </c>
      <c r="C494" t="s">
        <v>161</v>
      </c>
      <c r="D494" t="s">
        <v>45</v>
      </c>
      <c r="E494" t="s">
        <v>387</v>
      </c>
      <c r="F494" t="s">
        <v>384</v>
      </c>
      <c r="AS494">
        <v>1349110.85</v>
      </c>
      <c r="AT494">
        <v>1888755.19</v>
      </c>
      <c r="AU494">
        <v>1888755.19</v>
      </c>
      <c r="AV494">
        <v>1888755.19</v>
      </c>
      <c r="AW494">
        <v>1079288.68</v>
      </c>
    </row>
    <row r="495" spans="1:56" x14ac:dyDescent="0.3">
      <c r="A495" t="s">
        <v>19</v>
      </c>
      <c r="B495" t="s">
        <v>293</v>
      </c>
      <c r="C495" t="s">
        <v>161</v>
      </c>
      <c r="D495" t="s">
        <v>45</v>
      </c>
      <c r="E495" t="s">
        <v>387</v>
      </c>
      <c r="F495" t="s">
        <v>385</v>
      </c>
      <c r="AS495">
        <v>1049308.44</v>
      </c>
      <c r="AT495">
        <v>1469031.81</v>
      </c>
      <c r="AU495">
        <v>1469031.81</v>
      </c>
      <c r="AV495">
        <v>1469031.81</v>
      </c>
      <c r="AW495">
        <v>1469031.81</v>
      </c>
      <c r="AX495">
        <v>629585.06000000006</v>
      </c>
    </row>
    <row r="496" spans="1:56" x14ac:dyDescent="0.3">
      <c r="A496" t="s">
        <v>19</v>
      </c>
      <c r="B496" t="s">
        <v>293</v>
      </c>
      <c r="C496" t="s">
        <v>161</v>
      </c>
      <c r="D496" t="s">
        <v>45</v>
      </c>
      <c r="E496" t="s">
        <v>387</v>
      </c>
      <c r="F496" t="s">
        <v>386</v>
      </c>
      <c r="AX496">
        <v>539644.34</v>
      </c>
    </row>
    <row r="497" spans="1:63" x14ac:dyDescent="0.3">
      <c r="A497" t="s">
        <v>19</v>
      </c>
      <c r="B497" t="s">
        <v>298</v>
      </c>
      <c r="C497" t="s">
        <v>161</v>
      </c>
      <c r="D497" t="s">
        <v>31</v>
      </c>
      <c r="E497" t="s">
        <v>387</v>
      </c>
      <c r="F497" t="s">
        <v>384</v>
      </c>
      <c r="BD497">
        <v>817597.96</v>
      </c>
      <c r="BE497">
        <v>1907728.58</v>
      </c>
      <c r="BF497">
        <v>1907728.58</v>
      </c>
      <c r="BG497">
        <v>1362663.27</v>
      </c>
    </row>
    <row r="498" spans="1:63" x14ac:dyDescent="0.3">
      <c r="A498" t="s">
        <v>19</v>
      </c>
      <c r="B498" t="s">
        <v>298</v>
      </c>
      <c r="C498" t="s">
        <v>161</v>
      </c>
      <c r="D498" t="s">
        <v>31</v>
      </c>
      <c r="E498" t="s">
        <v>387</v>
      </c>
      <c r="F498" t="s">
        <v>385</v>
      </c>
    </row>
    <row r="499" spans="1:63" x14ac:dyDescent="0.3">
      <c r="A499" t="s">
        <v>19</v>
      </c>
      <c r="B499" t="s">
        <v>298</v>
      </c>
      <c r="C499" t="s">
        <v>161</v>
      </c>
      <c r="D499" t="s">
        <v>31</v>
      </c>
      <c r="E499" t="s">
        <v>387</v>
      </c>
      <c r="F499" t="s">
        <v>386</v>
      </c>
      <c r="BD499">
        <v>817597.96</v>
      </c>
      <c r="BE499">
        <v>1907728.58</v>
      </c>
      <c r="BF499">
        <v>1907728.58</v>
      </c>
      <c r="BG499">
        <v>1362663.27</v>
      </c>
    </row>
    <row r="500" spans="1:63" x14ac:dyDescent="0.3">
      <c r="A500" t="s">
        <v>19</v>
      </c>
      <c r="B500" t="s">
        <v>301</v>
      </c>
      <c r="C500" t="s">
        <v>161</v>
      </c>
      <c r="D500" t="s">
        <v>61</v>
      </c>
      <c r="E500" t="s">
        <v>387</v>
      </c>
      <c r="F500" t="s">
        <v>384</v>
      </c>
      <c r="BC500">
        <v>37801.56</v>
      </c>
      <c r="BD500">
        <v>30241.24</v>
      </c>
    </row>
    <row r="501" spans="1:63" x14ac:dyDescent="0.3">
      <c r="A501" t="s">
        <v>19</v>
      </c>
      <c r="B501" t="s">
        <v>301</v>
      </c>
      <c r="C501" t="s">
        <v>161</v>
      </c>
      <c r="D501" t="s">
        <v>61</v>
      </c>
      <c r="E501" t="s">
        <v>387</v>
      </c>
      <c r="F501" t="s">
        <v>385</v>
      </c>
    </row>
    <row r="502" spans="1:63" x14ac:dyDescent="0.3">
      <c r="A502" t="s">
        <v>19</v>
      </c>
      <c r="B502" t="s">
        <v>301</v>
      </c>
      <c r="C502" t="s">
        <v>161</v>
      </c>
      <c r="D502" t="s">
        <v>61</v>
      </c>
      <c r="E502" t="s">
        <v>387</v>
      </c>
      <c r="F502" t="s">
        <v>386</v>
      </c>
      <c r="BC502">
        <v>37801.56</v>
      </c>
      <c r="BD502">
        <v>30241.24</v>
      </c>
    </row>
    <row r="503" spans="1:63" x14ac:dyDescent="0.3">
      <c r="A503" t="s">
        <v>19</v>
      </c>
      <c r="B503" t="s">
        <v>304</v>
      </c>
      <c r="C503" t="s">
        <v>161</v>
      </c>
      <c r="D503" t="s">
        <v>64</v>
      </c>
      <c r="E503" t="s">
        <v>387</v>
      </c>
      <c r="F503" t="s">
        <v>384</v>
      </c>
      <c r="BD503">
        <v>13737.12</v>
      </c>
      <c r="BE503">
        <v>32053.279999999999</v>
      </c>
    </row>
    <row r="504" spans="1:63" x14ac:dyDescent="0.3">
      <c r="A504" t="s">
        <v>19</v>
      </c>
      <c r="B504" t="s">
        <v>304</v>
      </c>
      <c r="C504" t="s">
        <v>161</v>
      </c>
      <c r="D504" t="s">
        <v>64</v>
      </c>
      <c r="E504" t="s">
        <v>387</v>
      </c>
      <c r="F504" t="s">
        <v>385</v>
      </c>
    </row>
    <row r="505" spans="1:63" x14ac:dyDescent="0.3">
      <c r="A505" t="s">
        <v>19</v>
      </c>
      <c r="B505" t="s">
        <v>304</v>
      </c>
      <c r="C505" t="s">
        <v>161</v>
      </c>
      <c r="D505" t="s">
        <v>64</v>
      </c>
      <c r="E505" t="s">
        <v>387</v>
      </c>
      <c r="F505" t="s">
        <v>386</v>
      </c>
      <c r="BD505">
        <v>13737.12</v>
      </c>
      <c r="BE505">
        <v>32053.279999999999</v>
      </c>
    </row>
    <row r="506" spans="1:63" x14ac:dyDescent="0.3">
      <c r="A506" t="s">
        <v>19</v>
      </c>
      <c r="B506" t="s">
        <v>306</v>
      </c>
      <c r="C506" t="s">
        <v>161</v>
      </c>
      <c r="D506" t="s">
        <v>35</v>
      </c>
      <c r="E506" t="s">
        <v>387</v>
      </c>
      <c r="F506" t="s">
        <v>384</v>
      </c>
      <c r="BG506">
        <v>98629.64</v>
      </c>
      <c r="BH506">
        <v>345203.75</v>
      </c>
      <c r="BI506">
        <v>345203.75</v>
      </c>
      <c r="BJ506">
        <v>345203.75</v>
      </c>
      <c r="BK506">
        <v>246574.11</v>
      </c>
    </row>
    <row r="507" spans="1:63" x14ac:dyDescent="0.3">
      <c r="A507" t="s">
        <v>19</v>
      </c>
      <c r="B507" t="s">
        <v>306</v>
      </c>
      <c r="C507" t="s">
        <v>161</v>
      </c>
      <c r="D507" t="s">
        <v>35</v>
      </c>
      <c r="E507" t="s">
        <v>387</v>
      </c>
      <c r="F507" t="s">
        <v>385</v>
      </c>
    </row>
    <row r="508" spans="1:63" x14ac:dyDescent="0.3">
      <c r="A508" t="s">
        <v>19</v>
      </c>
      <c r="B508" t="s">
        <v>306</v>
      </c>
      <c r="C508" t="s">
        <v>161</v>
      </c>
      <c r="D508" t="s">
        <v>35</v>
      </c>
      <c r="E508" t="s">
        <v>387</v>
      </c>
      <c r="F508" t="s">
        <v>386</v>
      </c>
      <c r="BG508">
        <v>98629.64</v>
      </c>
      <c r="BH508">
        <v>345203.75</v>
      </c>
      <c r="BI508">
        <v>345203.75</v>
      </c>
      <c r="BJ508">
        <v>345203.75</v>
      </c>
      <c r="BK508">
        <v>246574.11</v>
      </c>
    </row>
    <row r="509" spans="1:63" x14ac:dyDescent="0.3">
      <c r="A509" t="s">
        <v>19</v>
      </c>
      <c r="B509" t="s">
        <v>309</v>
      </c>
      <c r="C509" t="s">
        <v>312</v>
      </c>
      <c r="D509" t="s">
        <v>45</v>
      </c>
      <c r="E509" t="s">
        <v>387</v>
      </c>
      <c r="F509" t="s">
        <v>384</v>
      </c>
      <c r="AO509">
        <v>229407.73</v>
      </c>
      <c r="AP509">
        <v>458815.47</v>
      </c>
    </row>
    <row r="510" spans="1:63" x14ac:dyDescent="0.3">
      <c r="A510" t="s">
        <v>19</v>
      </c>
      <c r="B510" t="s">
        <v>309</v>
      </c>
      <c r="C510" t="s">
        <v>312</v>
      </c>
      <c r="D510" t="s">
        <v>45</v>
      </c>
      <c r="E510" t="s">
        <v>387</v>
      </c>
      <c r="F510" t="s">
        <v>385</v>
      </c>
      <c r="AO510">
        <v>229407.73</v>
      </c>
      <c r="AP510">
        <v>458815.47</v>
      </c>
    </row>
    <row r="511" spans="1:63" x14ac:dyDescent="0.3">
      <c r="A511" t="s">
        <v>19</v>
      </c>
      <c r="B511" t="s">
        <v>309</v>
      </c>
      <c r="C511" t="s">
        <v>312</v>
      </c>
      <c r="D511" t="s">
        <v>45</v>
      </c>
      <c r="E511" t="s">
        <v>387</v>
      </c>
      <c r="F511" t="s">
        <v>386</v>
      </c>
    </row>
    <row r="512" spans="1:63" x14ac:dyDescent="0.3">
      <c r="A512" t="s">
        <v>19</v>
      </c>
      <c r="B512" t="s">
        <v>313</v>
      </c>
      <c r="C512" t="s">
        <v>312</v>
      </c>
      <c r="D512" t="s">
        <v>31</v>
      </c>
      <c r="E512" t="s">
        <v>387</v>
      </c>
      <c r="F512" t="s">
        <v>384</v>
      </c>
      <c r="AR512">
        <v>114703.87</v>
      </c>
      <c r="AS512">
        <v>573519.32999999996</v>
      </c>
    </row>
    <row r="513" spans="1:51" x14ac:dyDescent="0.3">
      <c r="A513" t="s">
        <v>19</v>
      </c>
      <c r="B513" t="s">
        <v>313</v>
      </c>
      <c r="C513" t="s">
        <v>312</v>
      </c>
      <c r="D513" t="s">
        <v>31</v>
      </c>
      <c r="E513" t="s">
        <v>387</v>
      </c>
      <c r="F513" t="s">
        <v>385</v>
      </c>
      <c r="AR513">
        <v>114703.87</v>
      </c>
      <c r="AS513">
        <v>573519.32999999996</v>
      </c>
    </row>
    <row r="514" spans="1:51" x14ac:dyDescent="0.3">
      <c r="A514" t="s">
        <v>19</v>
      </c>
      <c r="B514" t="s">
        <v>313</v>
      </c>
      <c r="C514" t="s">
        <v>312</v>
      </c>
      <c r="D514" t="s">
        <v>31</v>
      </c>
      <c r="E514" t="s">
        <v>387</v>
      </c>
      <c r="F514" t="s">
        <v>386</v>
      </c>
    </row>
    <row r="515" spans="1:51" x14ac:dyDescent="0.3">
      <c r="A515" t="s">
        <v>19</v>
      </c>
      <c r="B515" t="s">
        <v>316</v>
      </c>
      <c r="C515" t="s">
        <v>312</v>
      </c>
      <c r="D515" t="s">
        <v>61</v>
      </c>
      <c r="E515" t="s">
        <v>387</v>
      </c>
      <c r="F515" t="s">
        <v>384</v>
      </c>
      <c r="AQ515">
        <v>688223.2</v>
      </c>
    </row>
    <row r="516" spans="1:51" x14ac:dyDescent="0.3">
      <c r="A516" t="s">
        <v>19</v>
      </c>
      <c r="B516" t="s">
        <v>316</v>
      </c>
      <c r="C516" t="s">
        <v>312</v>
      </c>
      <c r="D516" t="s">
        <v>61</v>
      </c>
      <c r="E516" t="s">
        <v>387</v>
      </c>
      <c r="F516" t="s">
        <v>385</v>
      </c>
      <c r="AQ516">
        <v>688223.2</v>
      </c>
    </row>
    <row r="517" spans="1:51" x14ac:dyDescent="0.3">
      <c r="A517" t="s">
        <v>19</v>
      </c>
      <c r="B517" t="s">
        <v>316</v>
      </c>
      <c r="C517" t="s">
        <v>312</v>
      </c>
      <c r="D517" t="s">
        <v>61</v>
      </c>
      <c r="E517" t="s">
        <v>387</v>
      </c>
      <c r="F517" t="s">
        <v>386</v>
      </c>
    </row>
    <row r="518" spans="1:51" x14ac:dyDescent="0.3">
      <c r="A518" t="s">
        <v>19</v>
      </c>
      <c r="B518" t="s">
        <v>319</v>
      </c>
      <c r="C518" t="s">
        <v>312</v>
      </c>
      <c r="D518" t="s">
        <v>64</v>
      </c>
      <c r="E518" t="s">
        <v>387</v>
      </c>
      <c r="F518" t="s">
        <v>384</v>
      </c>
      <c r="AR518">
        <v>458815.47</v>
      </c>
      <c r="AS518">
        <v>229407.73</v>
      </c>
    </row>
    <row r="519" spans="1:51" x14ac:dyDescent="0.3">
      <c r="A519" t="s">
        <v>19</v>
      </c>
      <c r="B519" t="s">
        <v>319</v>
      </c>
      <c r="C519" t="s">
        <v>312</v>
      </c>
      <c r="D519" t="s">
        <v>64</v>
      </c>
      <c r="E519" t="s">
        <v>387</v>
      </c>
      <c r="F519" t="s">
        <v>385</v>
      </c>
      <c r="AR519">
        <v>458815.47</v>
      </c>
      <c r="AS519">
        <v>229407.73</v>
      </c>
    </row>
    <row r="520" spans="1:51" x14ac:dyDescent="0.3">
      <c r="A520" t="s">
        <v>19</v>
      </c>
      <c r="B520" t="s">
        <v>319</v>
      </c>
      <c r="C520" t="s">
        <v>312</v>
      </c>
      <c r="D520" t="s">
        <v>64</v>
      </c>
      <c r="E520" t="s">
        <v>387</v>
      </c>
      <c r="F520" t="s">
        <v>386</v>
      </c>
    </row>
    <row r="521" spans="1:51" x14ac:dyDescent="0.3">
      <c r="A521" t="s">
        <v>19</v>
      </c>
      <c r="B521" t="s">
        <v>321</v>
      </c>
      <c r="C521" t="s">
        <v>312</v>
      </c>
      <c r="D521" t="s">
        <v>35</v>
      </c>
      <c r="E521" t="s">
        <v>387</v>
      </c>
      <c r="F521" t="s">
        <v>384</v>
      </c>
      <c r="AY521">
        <v>688223.2</v>
      </c>
    </row>
    <row r="522" spans="1:51" x14ac:dyDescent="0.3">
      <c r="A522" t="s">
        <v>19</v>
      </c>
      <c r="B522" t="s">
        <v>321</v>
      </c>
      <c r="C522" t="s">
        <v>312</v>
      </c>
      <c r="D522" t="s">
        <v>35</v>
      </c>
      <c r="E522" t="s">
        <v>387</v>
      </c>
      <c r="F522" t="s">
        <v>385</v>
      </c>
    </row>
    <row r="523" spans="1:51" x14ac:dyDescent="0.3">
      <c r="A523" t="s">
        <v>19</v>
      </c>
      <c r="B523" t="s">
        <v>321</v>
      </c>
      <c r="C523" t="s">
        <v>312</v>
      </c>
      <c r="D523" t="s">
        <v>35</v>
      </c>
      <c r="E523" t="s">
        <v>387</v>
      </c>
      <c r="F523" t="s">
        <v>386</v>
      </c>
      <c r="AY523">
        <v>688223.2</v>
      </c>
    </row>
    <row r="524" spans="1:51" x14ac:dyDescent="0.3">
      <c r="A524" t="s">
        <v>19</v>
      </c>
      <c r="B524" t="s">
        <v>324</v>
      </c>
      <c r="C524" t="s">
        <v>312</v>
      </c>
      <c r="D524" t="s">
        <v>45</v>
      </c>
      <c r="E524" t="s">
        <v>387</v>
      </c>
      <c r="F524" t="s">
        <v>384</v>
      </c>
      <c r="AO524">
        <v>229407.73</v>
      </c>
      <c r="AP524">
        <v>458815.47</v>
      </c>
    </row>
    <row r="525" spans="1:51" x14ac:dyDescent="0.3">
      <c r="A525" t="s">
        <v>19</v>
      </c>
      <c r="B525" t="s">
        <v>324</v>
      </c>
      <c r="C525" t="s">
        <v>312</v>
      </c>
      <c r="D525" t="s">
        <v>45</v>
      </c>
      <c r="E525" t="s">
        <v>387</v>
      </c>
      <c r="F525" t="s">
        <v>385</v>
      </c>
      <c r="AO525">
        <v>229407.73</v>
      </c>
      <c r="AP525">
        <v>458815.47</v>
      </c>
    </row>
    <row r="526" spans="1:51" x14ac:dyDescent="0.3">
      <c r="A526" t="s">
        <v>19</v>
      </c>
      <c r="B526" t="s">
        <v>324</v>
      </c>
      <c r="C526" t="s">
        <v>312</v>
      </c>
      <c r="D526" t="s">
        <v>45</v>
      </c>
      <c r="E526" t="s">
        <v>387</v>
      </c>
      <c r="F526" t="s">
        <v>386</v>
      </c>
    </row>
    <row r="527" spans="1:51" x14ac:dyDescent="0.3">
      <c r="A527" t="s">
        <v>19</v>
      </c>
      <c r="B527" t="s">
        <v>327</v>
      </c>
      <c r="C527" t="s">
        <v>312</v>
      </c>
      <c r="D527" t="s">
        <v>31</v>
      </c>
      <c r="E527" t="s">
        <v>387</v>
      </c>
      <c r="F527" t="s">
        <v>384</v>
      </c>
      <c r="AU527">
        <v>344111.6</v>
      </c>
      <c r="AV527">
        <v>344111.6</v>
      </c>
    </row>
    <row r="528" spans="1:51" x14ac:dyDescent="0.3">
      <c r="A528" t="s">
        <v>19</v>
      </c>
      <c r="B528" t="s">
        <v>327</v>
      </c>
      <c r="C528" t="s">
        <v>312</v>
      </c>
      <c r="D528" t="s">
        <v>31</v>
      </c>
      <c r="E528" t="s">
        <v>387</v>
      </c>
      <c r="F528" t="s">
        <v>385</v>
      </c>
      <c r="AU528">
        <v>344111.6</v>
      </c>
      <c r="AV528">
        <v>344111.6</v>
      </c>
    </row>
    <row r="529" spans="1:56" x14ac:dyDescent="0.3">
      <c r="A529" t="s">
        <v>19</v>
      </c>
      <c r="B529" t="s">
        <v>327</v>
      </c>
      <c r="C529" t="s">
        <v>312</v>
      </c>
      <c r="D529" t="s">
        <v>31</v>
      </c>
      <c r="E529" t="s">
        <v>387</v>
      </c>
      <c r="F529" t="s">
        <v>386</v>
      </c>
    </row>
    <row r="530" spans="1:56" x14ac:dyDescent="0.3">
      <c r="A530" t="s">
        <v>19</v>
      </c>
      <c r="B530" t="s">
        <v>330</v>
      </c>
      <c r="C530" t="s">
        <v>312</v>
      </c>
      <c r="D530" t="s">
        <v>61</v>
      </c>
      <c r="E530" t="s">
        <v>387</v>
      </c>
      <c r="F530" t="s">
        <v>384</v>
      </c>
      <c r="AR530">
        <v>458815.47</v>
      </c>
      <c r="AS530">
        <v>229407.73</v>
      </c>
    </row>
    <row r="531" spans="1:56" x14ac:dyDescent="0.3">
      <c r="A531" t="s">
        <v>19</v>
      </c>
      <c r="B531" t="s">
        <v>330</v>
      </c>
      <c r="C531" t="s">
        <v>312</v>
      </c>
      <c r="D531" t="s">
        <v>61</v>
      </c>
      <c r="E531" t="s">
        <v>387</v>
      </c>
      <c r="F531" t="s">
        <v>385</v>
      </c>
      <c r="AR531">
        <v>458815.47</v>
      </c>
      <c r="AS531">
        <v>229407.73</v>
      </c>
    </row>
    <row r="532" spans="1:56" x14ac:dyDescent="0.3">
      <c r="A532" t="s">
        <v>19</v>
      </c>
      <c r="B532" t="s">
        <v>330</v>
      </c>
      <c r="C532" t="s">
        <v>312</v>
      </c>
      <c r="D532" t="s">
        <v>61</v>
      </c>
      <c r="E532" t="s">
        <v>387</v>
      </c>
      <c r="F532" t="s">
        <v>386</v>
      </c>
    </row>
    <row r="533" spans="1:56" x14ac:dyDescent="0.3">
      <c r="A533" t="s">
        <v>19</v>
      </c>
      <c r="B533" t="s">
        <v>333</v>
      </c>
      <c r="C533" t="s">
        <v>312</v>
      </c>
      <c r="D533" t="s">
        <v>64</v>
      </c>
      <c r="E533" t="s">
        <v>387</v>
      </c>
      <c r="F533" t="s">
        <v>384</v>
      </c>
      <c r="AS533">
        <v>114703.87</v>
      </c>
      <c r="AT533">
        <v>573519.32999999996</v>
      </c>
    </row>
    <row r="534" spans="1:56" x14ac:dyDescent="0.3">
      <c r="A534" t="s">
        <v>19</v>
      </c>
      <c r="B534" t="s">
        <v>333</v>
      </c>
      <c r="C534" t="s">
        <v>312</v>
      </c>
      <c r="D534" t="s">
        <v>64</v>
      </c>
      <c r="E534" t="s">
        <v>387</v>
      </c>
      <c r="F534" t="s">
        <v>385</v>
      </c>
      <c r="AS534">
        <v>114703.87</v>
      </c>
      <c r="AT534">
        <v>573519.32999999996</v>
      </c>
    </row>
    <row r="535" spans="1:56" x14ac:dyDescent="0.3">
      <c r="A535" t="s">
        <v>19</v>
      </c>
      <c r="B535" t="s">
        <v>333</v>
      </c>
      <c r="C535" t="s">
        <v>312</v>
      </c>
      <c r="D535" t="s">
        <v>64</v>
      </c>
      <c r="E535" t="s">
        <v>387</v>
      </c>
      <c r="F535" t="s">
        <v>386</v>
      </c>
    </row>
    <row r="536" spans="1:56" x14ac:dyDescent="0.3">
      <c r="A536" t="s">
        <v>19</v>
      </c>
      <c r="B536" t="s">
        <v>335</v>
      </c>
      <c r="C536" t="s">
        <v>312</v>
      </c>
      <c r="D536" t="s">
        <v>35</v>
      </c>
      <c r="E536" t="s">
        <v>387</v>
      </c>
      <c r="F536" t="s">
        <v>384</v>
      </c>
      <c r="BB536">
        <v>458815.47</v>
      </c>
      <c r="BC536">
        <v>229407.73</v>
      </c>
    </row>
    <row r="537" spans="1:56" x14ac:dyDescent="0.3">
      <c r="A537" t="s">
        <v>19</v>
      </c>
      <c r="B537" t="s">
        <v>335</v>
      </c>
      <c r="C537" t="s">
        <v>312</v>
      </c>
      <c r="D537" t="s">
        <v>35</v>
      </c>
      <c r="E537" t="s">
        <v>387</v>
      </c>
      <c r="F537" t="s">
        <v>385</v>
      </c>
    </row>
    <row r="538" spans="1:56" x14ac:dyDescent="0.3">
      <c r="A538" t="s">
        <v>19</v>
      </c>
      <c r="B538" t="s">
        <v>335</v>
      </c>
      <c r="C538" t="s">
        <v>312</v>
      </c>
      <c r="D538" t="s">
        <v>35</v>
      </c>
      <c r="E538" t="s">
        <v>387</v>
      </c>
      <c r="F538" t="s">
        <v>386</v>
      </c>
      <c r="BB538">
        <v>458815.47</v>
      </c>
      <c r="BC538">
        <v>229407.73</v>
      </c>
    </row>
    <row r="539" spans="1:56" x14ac:dyDescent="0.3">
      <c r="A539" t="s">
        <v>19</v>
      </c>
      <c r="B539" t="s">
        <v>338</v>
      </c>
      <c r="C539" t="s">
        <v>312</v>
      </c>
      <c r="D539" t="s">
        <v>45</v>
      </c>
      <c r="E539" t="s">
        <v>387</v>
      </c>
      <c r="F539" t="s">
        <v>384</v>
      </c>
      <c r="AS539">
        <v>573519.32999999996</v>
      </c>
      <c r="AT539">
        <v>114703.87</v>
      </c>
    </row>
    <row r="540" spans="1:56" x14ac:dyDescent="0.3">
      <c r="A540" t="s">
        <v>19</v>
      </c>
      <c r="B540" t="s">
        <v>338</v>
      </c>
      <c r="C540" t="s">
        <v>312</v>
      </c>
      <c r="D540" t="s">
        <v>45</v>
      </c>
      <c r="E540" t="s">
        <v>387</v>
      </c>
      <c r="F540" t="s">
        <v>385</v>
      </c>
      <c r="AS540">
        <v>573519.32999999996</v>
      </c>
      <c r="AT540">
        <v>114703.87</v>
      </c>
    </row>
    <row r="541" spans="1:56" x14ac:dyDescent="0.3">
      <c r="A541" t="s">
        <v>19</v>
      </c>
      <c r="B541" t="s">
        <v>338</v>
      </c>
      <c r="C541" t="s">
        <v>312</v>
      </c>
      <c r="D541" t="s">
        <v>45</v>
      </c>
      <c r="E541" t="s">
        <v>387</v>
      </c>
      <c r="F541" t="s">
        <v>386</v>
      </c>
    </row>
    <row r="542" spans="1:56" x14ac:dyDescent="0.3">
      <c r="A542" t="s">
        <v>19</v>
      </c>
      <c r="B542" t="s">
        <v>342</v>
      </c>
      <c r="C542" t="s">
        <v>312</v>
      </c>
      <c r="D542" t="s">
        <v>31</v>
      </c>
      <c r="E542" t="s">
        <v>387</v>
      </c>
      <c r="F542" t="s">
        <v>384</v>
      </c>
      <c r="BC542">
        <v>573519.32999999996</v>
      </c>
      <c r="BD542">
        <v>114703.87</v>
      </c>
    </row>
    <row r="543" spans="1:56" x14ac:dyDescent="0.3">
      <c r="A543" t="s">
        <v>19</v>
      </c>
      <c r="B543" t="s">
        <v>342</v>
      </c>
      <c r="C543" t="s">
        <v>312</v>
      </c>
      <c r="D543" t="s">
        <v>31</v>
      </c>
      <c r="E543" t="s">
        <v>387</v>
      </c>
      <c r="F543" t="s">
        <v>385</v>
      </c>
    </row>
    <row r="544" spans="1:56" x14ac:dyDescent="0.3">
      <c r="A544" t="s">
        <v>19</v>
      </c>
      <c r="B544" t="s">
        <v>342</v>
      </c>
      <c r="C544" t="s">
        <v>312</v>
      </c>
      <c r="D544" t="s">
        <v>31</v>
      </c>
      <c r="E544" t="s">
        <v>387</v>
      </c>
      <c r="F544" t="s">
        <v>386</v>
      </c>
      <c r="BC544">
        <v>573519.32999999996</v>
      </c>
      <c r="BD544">
        <v>114703.87</v>
      </c>
    </row>
    <row r="545" spans="1:60" x14ac:dyDescent="0.3">
      <c r="A545" t="s">
        <v>19</v>
      </c>
      <c r="B545" t="s">
        <v>345</v>
      </c>
      <c r="C545" t="s">
        <v>312</v>
      </c>
      <c r="D545" t="s">
        <v>61</v>
      </c>
      <c r="E545" t="s">
        <v>387</v>
      </c>
      <c r="F545" t="s">
        <v>384</v>
      </c>
      <c r="AZ545">
        <v>688223.2</v>
      </c>
    </row>
    <row r="546" spans="1:60" x14ac:dyDescent="0.3">
      <c r="A546" t="s">
        <v>19</v>
      </c>
      <c r="B546" t="s">
        <v>345</v>
      </c>
      <c r="C546" t="s">
        <v>312</v>
      </c>
      <c r="D546" t="s">
        <v>61</v>
      </c>
      <c r="E546" t="s">
        <v>387</v>
      </c>
      <c r="F546" t="s">
        <v>385</v>
      </c>
    </row>
    <row r="547" spans="1:60" x14ac:dyDescent="0.3">
      <c r="A547" t="s">
        <v>19</v>
      </c>
      <c r="B547" t="s">
        <v>345</v>
      </c>
      <c r="C547" t="s">
        <v>312</v>
      </c>
      <c r="D547" t="s">
        <v>61</v>
      </c>
      <c r="E547" t="s">
        <v>387</v>
      </c>
      <c r="F547" t="s">
        <v>386</v>
      </c>
      <c r="AZ547">
        <v>688223.2</v>
      </c>
    </row>
    <row r="548" spans="1:60" x14ac:dyDescent="0.3">
      <c r="A548" t="s">
        <v>19</v>
      </c>
      <c r="B548" t="s">
        <v>348</v>
      </c>
      <c r="C548" t="s">
        <v>312</v>
      </c>
      <c r="D548" t="s">
        <v>64</v>
      </c>
      <c r="E548" t="s">
        <v>387</v>
      </c>
      <c r="F548" t="s">
        <v>384</v>
      </c>
      <c r="BA548">
        <v>344111.6</v>
      </c>
      <c r="BB548">
        <v>344111.6</v>
      </c>
    </row>
    <row r="549" spans="1:60" x14ac:dyDescent="0.3">
      <c r="A549" t="s">
        <v>19</v>
      </c>
      <c r="B549" t="s">
        <v>348</v>
      </c>
      <c r="C549" t="s">
        <v>312</v>
      </c>
      <c r="D549" t="s">
        <v>64</v>
      </c>
      <c r="E549" t="s">
        <v>387</v>
      </c>
      <c r="F549" t="s">
        <v>385</v>
      </c>
    </row>
    <row r="550" spans="1:60" x14ac:dyDescent="0.3">
      <c r="A550" t="s">
        <v>19</v>
      </c>
      <c r="B550" t="s">
        <v>348</v>
      </c>
      <c r="C550" t="s">
        <v>312</v>
      </c>
      <c r="D550" t="s">
        <v>64</v>
      </c>
      <c r="E550" t="s">
        <v>387</v>
      </c>
      <c r="F550" t="s">
        <v>386</v>
      </c>
      <c r="BA550">
        <v>344111.6</v>
      </c>
      <c r="BB550">
        <v>344111.6</v>
      </c>
    </row>
    <row r="551" spans="1:60" x14ac:dyDescent="0.3">
      <c r="A551" t="s">
        <v>19</v>
      </c>
      <c r="B551" t="s">
        <v>350</v>
      </c>
      <c r="C551" t="s">
        <v>312</v>
      </c>
      <c r="D551" t="s">
        <v>35</v>
      </c>
      <c r="E551" t="s">
        <v>387</v>
      </c>
      <c r="F551" t="s">
        <v>384</v>
      </c>
      <c r="BG551">
        <v>573519.32999999996</v>
      </c>
      <c r="BH551">
        <v>114703.87</v>
      </c>
    </row>
    <row r="552" spans="1:60" x14ac:dyDescent="0.3">
      <c r="A552" t="s">
        <v>19</v>
      </c>
      <c r="B552" t="s">
        <v>350</v>
      </c>
      <c r="C552" t="s">
        <v>312</v>
      </c>
      <c r="D552" t="s">
        <v>35</v>
      </c>
      <c r="E552" t="s">
        <v>387</v>
      </c>
      <c r="F552" t="s">
        <v>385</v>
      </c>
    </row>
    <row r="553" spans="1:60" x14ac:dyDescent="0.3">
      <c r="A553" t="s">
        <v>19</v>
      </c>
      <c r="B553" t="s">
        <v>350</v>
      </c>
      <c r="C553" t="s">
        <v>312</v>
      </c>
      <c r="D553" t="s">
        <v>35</v>
      </c>
      <c r="E553" t="s">
        <v>387</v>
      </c>
      <c r="F553" t="s">
        <v>386</v>
      </c>
      <c r="BG553">
        <v>573519.32999999996</v>
      </c>
      <c r="BH553">
        <v>114703.87</v>
      </c>
    </row>
    <row r="554" spans="1:60" x14ac:dyDescent="0.3">
      <c r="A554" t="s">
        <v>19</v>
      </c>
      <c r="B554" t="s">
        <v>353</v>
      </c>
      <c r="C554" t="s">
        <v>312</v>
      </c>
      <c r="D554" t="s">
        <v>45</v>
      </c>
      <c r="E554" t="s">
        <v>387</v>
      </c>
      <c r="F554" t="s">
        <v>384</v>
      </c>
      <c r="AX554">
        <v>229407.73</v>
      </c>
      <c r="AY554">
        <v>458815.47</v>
      </c>
    </row>
    <row r="555" spans="1:60" x14ac:dyDescent="0.3">
      <c r="A555" t="s">
        <v>19</v>
      </c>
      <c r="B555" t="s">
        <v>353</v>
      </c>
      <c r="C555" t="s">
        <v>312</v>
      </c>
      <c r="D555" t="s">
        <v>45</v>
      </c>
      <c r="E555" t="s">
        <v>387</v>
      </c>
      <c r="F555" t="s">
        <v>385</v>
      </c>
    </row>
    <row r="556" spans="1:60" x14ac:dyDescent="0.3">
      <c r="A556" t="s">
        <v>19</v>
      </c>
      <c r="B556" t="s">
        <v>353</v>
      </c>
      <c r="C556" t="s">
        <v>312</v>
      </c>
      <c r="D556" t="s">
        <v>45</v>
      </c>
      <c r="E556" t="s">
        <v>387</v>
      </c>
      <c r="F556" t="s">
        <v>386</v>
      </c>
      <c r="AX556">
        <v>229407.73</v>
      </c>
      <c r="AY556">
        <v>458815.47</v>
      </c>
    </row>
    <row r="557" spans="1:60" x14ac:dyDescent="0.3">
      <c r="A557" t="s">
        <v>19</v>
      </c>
      <c r="B557" t="s">
        <v>356</v>
      </c>
      <c r="C557" t="s">
        <v>312</v>
      </c>
      <c r="D557" t="s">
        <v>31</v>
      </c>
      <c r="E557" t="s">
        <v>387</v>
      </c>
      <c r="F557" t="s">
        <v>384</v>
      </c>
      <c r="BG557">
        <v>229407.73</v>
      </c>
      <c r="BH557">
        <v>458815.47</v>
      </c>
    </row>
    <row r="558" spans="1:60" x14ac:dyDescent="0.3">
      <c r="A558" t="s">
        <v>19</v>
      </c>
      <c r="B558" t="s">
        <v>356</v>
      </c>
      <c r="C558" t="s">
        <v>312</v>
      </c>
      <c r="D558" t="s">
        <v>31</v>
      </c>
      <c r="E558" t="s">
        <v>387</v>
      </c>
      <c r="F558" t="s">
        <v>385</v>
      </c>
    </row>
    <row r="559" spans="1:60" x14ac:dyDescent="0.3">
      <c r="A559" t="s">
        <v>19</v>
      </c>
      <c r="B559" t="s">
        <v>356</v>
      </c>
      <c r="C559" t="s">
        <v>312</v>
      </c>
      <c r="D559" t="s">
        <v>31</v>
      </c>
      <c r="E559" t="s">
        <v>387</v>
      </c>
      <c r="F559" t="s">
        <v>386</v>
      </c>
      <c r="BG559">
        <v>229407.73</v>
      </c>
      <c r="BH559">
        <v>458815.47</v>
      </c>
    </row>
    <row r="560" spans="1:60" x14ac:dyDescent="0.3">
      <c r="A560" t="s">
        <v>19</v>
      </c>
      <c r="B560" t="s">
        <v>359</v>
      </c>
      <c r="C560" t="s">
        <v>312</v>
      </c>
      <c r="D560" t="s">
        <v>61</v>
      </c>
      <c r="E560" t="s">
        <v>387</v>
      </c>
      <c r="F560" t="s">
        <v>384</v>
      </c>
      <c r="BD560">
        <v>344111.6</v>
      </c>
      <c r="BE560">
        <v>344111.6</v>
      </c>
    </row>
    <row r="561" spans="1:64" x14ac:dyDescent="0.3">
      <c r="A561" t="s">
        <v>19</v>
      </c>
      <c r="B561" t="s">
        <v>359</v>
      </c>
      <c r="C561" t="s">
        <v>312</v>
      </c>
      <c r="D561" t="s">
        <v>61</v>
      </c>
      <c r="E561" t="s">
        <v>387</v>
      </c>
      <c r="F561" t="s">
        <v>385</v>
      </c>
    </row>
    <row r="562" spans="1:64" x14ac:dyDescent="0.3">
      <c r="A562" t="s">
        <v>19</v>
      </c>
      <c r="B562" t="s">
        <v>359</v>
      </c>
      <c r="C562" t="s">
        <v>312</v>
      </c>
      <c r="D562" t="s">
        <v>61</v>
      </c>
      <c r="E562" t="s">
        <v>387</v>
      </c>
      <c r="F562" t="s">
        <v>386</v>
      </c>
      <c r="BD562">
        <v>344111.6</v>
      </c>
      <c r="BE562">
        <v>344111.6</v>
      </c>
    </row>
    <row r="563" spans="1:64" x14ac:dyDescent="0.3">
      <c r="A563" t="s">
        <v>19</v>
      </c>
      <c r="B563" t="s">
        <v>362</v>
      </c>
      <c r="C563" t="s">
        <v>312</v>
      </c>
      <c r="D563" t="s">
        <v>64</v>
      </c>
      <c r="E563" t="s">
        <v>387</v>
      </c>
      <c r="F563" t="s">
        <v>384</v>
      </c>
      <c r="BF563">
        <v>688223.2</v>
      </c>
    </row>
    <row r="564" spans="1:64" x14ac:dyDescent="0.3">
      <c r="A564" t="s">
        <v>19</v>
      </c>
      <c r="B564" t="s">
        <v>362</v>
      </c>
      <c r="C564" t="s">
        <v>312</v>
      </c>
      <c r="D564" t="s">
        <v>64</v>
      </c>
      <c r="E564" t="s">
        <v>387</v>
      </c>
      <c r="F564" t="s">
        <v>385</v>
      </c>
    </row>
    <row r="565" spans="1:64" x14ac:dyDescent="0.3">
      <c r="A565" t="s">
        <v>19</v>
      </c>
      <c r="B565" t="s">
        <v>362</v>
      </c>
      <c r="C565" t="s">
        <v>312</v>
      </c>
      <c r="D565" t="s">
        <v>64</v>
      </c>
      <c r="E565" t="s">
        <v>387</v>
      </c>
      <c r="F565" t="s">
        <v>386</v>
      </c>
      <c r="BF565">
        <v>688223.2</v>
      </c>
    </row>
    <row r="566" spans="1:64" x14ac:dyDescent="0.3">
      <c r="A566" t="s">
        <v>19</v>
      </c>
      <c r="B566" t="s">
        <v>364</v>
      </c>
      <c r="C566" t="s">
        <v>312</v>
      </c>
      <c r="D566" t="s">
        <v>35</v>
      </c>
      <c r="E566" t="s">
        <v>387</v>
      </c>
      <c r="F566" t="s">
        <v>384</v>
      </c>
      <c r="BK566">
        <v>229407.73</v>
      </c>
      <c r="BL566">
        <v>458815.47</v>
      </c>
    </row>
    <row r="567" spans="1:64" x14ac:dyDescent="0.3">
      <c r="A567" t="s">
        <v>19</v>
      </c>
      <c r="B567" t="s">
        <v>364</v>
      </c>
      <c r="C567" t="s">
        <v>312</v>
      </c>
      <c r="D567" t="s">
        <v>35</v>
      </c>
      <c r="E567" t="s">
        <v>387</v>
      </c>
      <c r="F567" t="s">
        <v>385</v>
      </c>
    </row>
    <row r="568" spans="1:64" x14ac:dyDescent="0.3">
      <c r="A568" t="s">
        <v>19</v>
      </c>
      <c r="B568" t="s">
        <v>364</v>
      </c>
      <c r="C568" t="s">
        <v>312</v>
      </c>
      <c r="D568" t="s">
        <v>35</v>
      </c>
      <c r="E568" t="s">
        <v>387</v>
      </c>
      <c r="F568" t="s">
        <v>386</v>
      </c>
      <c r="BK568">
        <v>229407.73</v>
      </c>
      <c r="BL568">
        <v>458815.47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ActivityList AUG23</vt:lpstr>
      <vt:lpstr>RES. Baseline</vt:lpstr>
      <vt:lpstr>RES. AUG23</vt:lpstr>
      <vt:lpstr>RES. OCT23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Elkenawy</dc:creator>
  <cp:lastModifiedBy>asus</cp:lastModifiedBy>
  <dcterms:created xsi:type="dcterms:W3CDTF">2015-06-05T18:17:20Z</dcterms:created>
  <dcterms:modified xsi:type="dcterms:W3CDTF">2026-03-26T09:04:37Z</dcterms:modified>
</cp:coreProperties>
</file>